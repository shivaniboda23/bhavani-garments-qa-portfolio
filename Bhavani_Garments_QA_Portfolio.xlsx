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c8fb94926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4f4612ee8224c75"/>
    <x:sheet xmlns:r="http://schemas.openxmlformats.org/officeDocument/2006/relationships" name="Test Plan" sheetId="2" r:id="Rcf276ebfb9184b24"/>
    <x:sheet xmlns:r="http://schemas.openxmlformats.org/officeDocument/2006/relationships" name="Test Cases" sheetId="3" r:id="Rc1fa3fe644df41d7"/>
    <x:sheet xmlns:r="http://schemas.openxmlformats.org/officeDocument/2006/relationships" name="Defect Log" sheetId="4" r:id="R84c4e1be72f3405d"/>
    <x:sheet xmlns:r="http://schemas.openxmlformats.org/officeDocument/2006/relationships" name="API Coverage" sheetId="5" r:id="Ra4a08b7c5ea04059"/>
    <x:sheet xmlns:r="http://schemas.openxmlformats.org/officeDocument/2006/relationships" name="API Run" sheetId="6" r:id="R55cd646e06364042"/>
    <x:sheet xmlns:r="http://schemas.openxmlformats.org/officeDocument/2006/relationships" name="Traceability" sheetId="7" r:id="Raf9366d66769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7365D"/>
      <x:name val="Arial"/>
    </x:font>
    <x:font>
      <x:sz val="11"/>
      <x:name val="Arial"/>
    </x:font>
    <x:font>
      <x:b/>
      <x:sz val="11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7FA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0" fontId="4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0" fontId="3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22"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275317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1410b1514448b" /><Relationship Type="http://schemas.openxmlformats.org/officeDocument/2006/relationships/theme" Target="/xl/theme/theme1.xml" Id="R3864e6e261e14cdd" /><Relationship Type="http://schemas.openxmlformats.org/officeDocument/2006/relationships/sharedStrings" Target="/xl/sharedStrings.xml" Id="R7a3b8d8429394e17" /><Relationship Type="http://schemas.openxmlformats.org/officeDocument/2006/relationships/worksheet" Target="/xl/worksheets/sheet1.xml" Id="R54f4612ee8224c75" /><Relationship Type="http://schemas.openxmlformats.org/officeDocument/2006/relationships/worksheet" Target="/xl/worksheets/sheet2.xml" Id="Rcf276ebfb9184b24" /><Relationship Type="http://schemas.openxmlformats.org/officeDocument/2006/relationships/worksheet" Target="/xl/worksheets/sheet3.xml" Id="Rc1fa3fe644df41d7" /><Relationship Type="http://schemas.openxmlformats.org/officeDocument/2006/relationships/worksheet" Target="/xl/worksheets/sheet4.xml" Id="R84c4e1be72f3405d" /><Relationship Type="http://schemas.openxmlformats.org/officeDocument/2006/relationships/worksheet" Target="/xl/worksheets/sheet5.xml" Id="Ra4a08b7c5ea04059" /><Relationship Type="http://schemas.openxmlformats.org/officeDocument/2006/relationships/worksheet" Target="/xl/worksheets/sheet6.xml" Id="R55cd646e06364042" /><Relationship Type="http://schemas.openxmlformats.org/officeDocument/2006/relationships/worksheet" Target="/xl/worksheets/sheet7.xml" Id="Raf9366d667694650" /></Relationships>
</file>

<file path=xl/tables/table1.xml><?xml version="1.0" encoding="utf-8"?>
<x:table xmlns:x="http://schemas.openxmlformats.org/spreadsheetml/2006/main" id="1" name="TestPlanTable" displayName="TestPlanTable" ref="A4:D16" headerRowCount="1" totalsRowCount="0" totalsRowShown="0">
  <x:tableColumns count="4">
    <x:tableColumn id="1" name="Section"/>
    <x:tableColumn id="2" name="Definition"/>
    <x:tableColumn id="3" name="Project application"/>
    <x:tableColumn id="4" name="Exit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lTestCases" displayName="FormalTestCases" ref="A4:L35" headerRowCount="1" totalsRowCount="0" totalsRowShown="0">
  <x:tableColumns count="12">
    <x:tableColumn id="1" name="Test Case ID"/>
    <x:tableColumn id="2" name="Module"/>
    <x:tableColumn id="3" name="Scenario"/>
    <x:tableColumn id="4" name="Test Type"/>
    <x:tableColumn id="5" name="Priority"/>
    <x:tableColumn id="6" name="Preconditions"/>
    <x:tableColumn id="7" name="Steps"/>
    <x:tableColumn id="8" name="Test Data"/>
    <x:tableColumn id="9" name="Expected Result"/>
    <x:tableColumn id="10" name="Actual Result"/>
    <x:tableColumn id="11" name="Status"/>
    <x:tableColumn id="12" name="Evidence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ectLedger" displayName="DefectLedger" ref="A4:O9" headerRowCount="1" totalsRowCount="0" totalsRowShown="0">
  <x:tableColumns count="15">
    <x:tableColumn id="1" name="Defect ID"/>
    <x:tableColumn id="2" name="Module"/>
    <x:tableColumn id="3" name="Summary"/>
    <x:tableColumn id="4" name="Severity"/>
    <x:tableColumn id="5" name="Priority"/>
    <x:tableColumn id="6" name="Environment"/>
    <x:tableColumn id="7" name="Preconditions"/>
    <x:tableColumn id="8" name="Steps to Reproduce"/>
    <x:tableColumn id="9" name="Expected Result"/>
    <x:tableColumn id="10" name="Actual Result"/>
    <x:tableColumn id="11" name="Evidence"/>
    <x:tableColumn id="12" name="Root Cause / Resolution"/>
    <x:tableColumn id="13" name="Status"/>
    <x:tableColumn id="14" name="Retest Result"/>
    <x:tableColumn id="15" name="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iCoverageTable" displayName="ApiCoverageTable" ref="A4:M20" headerRowCount="1" totalsRowCount="0" totalsRowShown="0">
  <x:tableColumns count="13">
    <x:tableColumn id="1" name="Request ID"/>
    <x:tableColumn id="2" name="Folder"/>
    <x:tableColumn id="3" name="Method"/>
    <x:tableColumn id="4" name="Endpoint"/>
    <x:tableColumn id="5" name="Expected"/>
    <x:tableColumn id="6" name="Actual"/>
    <x:tableColumn id="7" name="Authentication"/>
    <x:tableColumn id="8" name="Mutation risk"/>
    <x:tableColumn id="9" name="Assertions"/>
    <x:tableColumn id="10" name="Status"/>
    <x:tableColumn id="11" name="Run date"/>
    <x:tableColumn id="12" name="Evidence"/>
    <x:tableColumn id="13" name="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stmanExecutionTable" displayName="PostmanExecutionTable" ref="A8:J24" headerRowCount="1" totalsRowCount="0" totalsRowShown="0">
  <x:tableColumns count="10">
    <x:tableColumn id="1" name="Request ID"/>
    <x:tableColumn id="2" name="Request"/>
    <x:tableColumn id="3" name="Method"/>
    <x:tableColumn id="4" name="Expected"/>
    <x:tableColumn id="5" name="Actual"/>
    <x:tableColumn id="6" name="Assertions"/>
    <x:tableColumn id="7" name="Passed"/>
    <x:tableColumn id="8" name="Failed"/>
    <x:tableColumn id="9" name="Result"/>
    <x:tableColumn id="10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aceabilityMatrix" displayName="TraceabilityMatrix" ref="A4:G14" headerRowCount="1" totalsRowCount="0" totalsRowShown="0">
  <x:tableColumns count="7">
    <x:tableColumn id="1" name="Requirement ID"/>
    <x:tableColumn id="2" name="Module"/>
    <x:tableColumn id="3" name="Requirement / Risk"/>
    <x:tableColumn id="4" name="Test Case IDs"/>
    <x:tableColumn id="5" name="API Request IDs"/>
    <x:tableColumn id="6" name="Jira Defect IDs"/>
    <x:tableColumn id="7" name="Coverage and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f4131cb72845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ff388bae8741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ecf0086d0644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327d8319044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7d2925869949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c1499b7624405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" hidden="0" customWidth="1"/>
    <x:col min="4" max="4" width="24" hidden="0" customWidth="1"/>
    <x:col min="5" max="5" width="55" hidden="0" customWidth="1"/>
    <x:col min="6" max="6" width="43" hidden="0" customWidth="1"/>
  </x:cols>
  <x:sheetData>
    <x:row r="1" ht="30" customHeight="1">
      <x:c r="A1" s="26" t="str">
        <x:v>Bhavani Garments ERP — QA Portfolio</x:v>
      </x:c>
      <x:c r="B1" s="27"/>
      <x:c r="C1" s="27"/>
      <x:c r="D1" s="27"/>
      <x:c r="E1" s="27"/>
      <x:c r="F1" s="27"/>
    </x:row>
    <x:row r="2" ht="22" customHeight="1">
      <x:c r="A2" s="28" t="str">
        <x:v>Evidence-backed manual, automated UI, regression, defect, and API-test documentation</x:v>
      </x:c>
      <x:c r="B2" s="27"/>
      <x:c r="C2" s="27"/>
      <x:c r="D2" s="27"/>
      <x:c r="E2" s="27"/>
      <x:c r="F2" s="27"/>
    </x:row>
    <x:row r="3">
      <x:c r="A3" s="27"/>
      <x:c r="B3" s="27"/>
      <x:c r="C3" s="27"/>
      <x:c r="D3" s="27"/>
      <x:c r="E3" s="27"/>
      <x:c r="F3" s="27"/>
    </x:row>
    <x:row r="4" ht="30" customHeight="1">
      <x:c r="A4" s="29" t="str">
        <x:v>Metric</x:v>
      </x:c>
      <x:c r="B4" s="29" t="str">
        <x:v>Result</x:v>
      </x:c>
      <x:c r="C4" s="27"/>
      <x:c r="D4" s="29" t="str">
        <x:v>Portfolio claim</x:v>
      </x:c>
      <x:c r="E4" s="29" t="str">
        <x:v>Evidence</x:v>
      </x:c>
      <x:c r="F4" s="29" t="str">
        <x:v>Honest scope</x:v>
      </x:c>
    </x:row>
    <x:row r="5">
      <x:c r="A5" s="14" t="str">
        <x:v>Formal test cases</x:v>
      </x:c>
      <x:c r="B5" s="17" t="n">
        <x:f>COUNTA('Test Cases'!$A$5:$A$40)</x:f>
        <x:v>31</x:v>
      </x:c>
      <x:c r="C5" s="27"/>
      <x:c r="D5" s="14" t="str">
        <x:v>Defect reporting</x:v>
      </x:c>
      <x:c r="E5" s="14" t="str">
        <x:v>Five genuine Jira bugs (BGQA-4 to BGQA-8) with severity, priority, reproduction, fix, retest, and closure evidence</x:v>
      </x:c>
      <x:c r="F5" s="14" t="str">
        <x:v>Hands-on Jira workflow exposure; not Jira administration or enterprise-scale program management</x:v>
      </x:c>
    </x:row>
    <x:row r="6">
      <x:c r="A6" s="14" t="str">
        <x:v>Passed test cases</x:v>
      </x:c>
      <x:c r="B6" s="17" t="n">
        <x:f>COUNTIF('Test Cases'!$K$2:$K$40,"Pass")</x:f>
        <x:v>31</x:v>
      </x:c>
      <x:c r="C6" s="27"/>
      <x:c r="D6" s="14" t="str">
        <x:v>Formal test design</x:v>
      </x:c>
      <x:c r="E6" s="14" t="str">
        <x:v>31 test cases with preconditions, data, steps, and acceptance criteria</x:v>
      </x:c>
      <x:c r="F6" s="14" t="str">
        <x:v>Cases are portfolio documentation derived from executed work</x:v>
      </x:c>
    </x:row>
    <x:row r="7">
      <x:c r="A7" s="14" t="str">
        <x:v>Not run / planned</x:v>
      </x:c>
      <x:c r="B7" s="17" t="n">
        <x:f>COUNTIF('Test Cases'!$K$2:$K$40,"Not Run")</x:f>
        <x:v>0</x:v>
      </x:c>
      <x:c r="C7" s="27"/>
      <x:c r="D7" s="14" t="str">
        <x:v>Automation</x:v>
      </x:c>
      <x:c r="E7" s="14" t="str">
        <x:v>Flutter widget/regression suites; latest full run: 350 tests passed</x:v>
      </x:c>
      <x:c r="F7" s="14" t="str">
        <x:v>Automated UI and logic tests, not end-to-end browser automation</x:v>
      </x:c>
    </x:row>
    <x:row r="8">
      <x:c r="A8" s="14" t="str">
        <x:v>Documented defects</x:v>
      </x:c>
      <x:c r="B8" s="17" t="n">
        <x:f>COUNTA('Defect Log'!$A$5:$A$30)</x:f>
        <x:v>5</x:v>
      </x:c>
      <x:c r="C8" s="27"/>
      <x:c r="D8" s="14" t="str">
        <x:v>API testing</x:v>
      </x:c>
      <x:c r="E8" s="14" t="str">
        <x:v>Executed Postman collection: 16 requests and 31 automated assertions passed</x:v>
      </x:c>
      <x:c r="F8" s="14" t="str">
        <x:v>Local Postman Desktop and local FastAPI database; not production, performance, or security penetration testing</x:v>
      </x:c>
    </x:row>
    <x:row r="9">
      <x:c r="A9" s="14" t="str">
        <x:v>Jira defects completed</x:v>
      </x:c>
      <x:c r="B9" s="17" t="n">
        <x:f>COUNTIF('Defect Log'!$M$2:$M$30,"Done")</x:f>
        <x:v>5</x:v>
      </x:c>
      <x:c r="C9" s="27"/>
      <x:c r="D9" s="14" t="str">
        <x:v>STLC</x:v>
      </x:c>
      <x:c r="E9" s="14" t="str">
        <x:v>Requirements → planning → design → execution → defects → retest → closure</x:v>
      </x:c>
      <x:c r="F9" s="14" t="str">
        <x:v>Applied retrospectively to this project and documented in Test Plan</x:v>
      </x:c>
    </x:row>
    <x:row r="10">
      <x:c r="A10" s="14" t="str">
        <x:v>Open Jira defects</x:v>
      </x:c>
      <x:c r="B10" s="17" t="n">
        <x:f>COUNTIF('Defect Log'!$M$2:$M$30,"To Do")+COUNTIF('Defect Log'!$M$2:$M$30,"In Progress")+COUNTIF('Defect Log'!$M$2:$M$30,"Ready for QA")</x:f>
        <x:v>0</x:v>
      </x:c>
      <x:c r="C10" s="27"/>
      <x:c r="D10" s="14" t="str">
        <x:v>Agile/Git</x:v>
      </x:c>
      <x:c r="E10" s="14" t="str">
        <x:v>Feature branches, focused commits, pull requests, merges, and regression gates</x:v>
      </x:c>
      <x:c r="F10" s="14" t="str">
        <x:v>Solo-project workflow modeled on team delivery practices</x:v>
      </x:c>
    </x:row>
    <x:row r="11">
      <x:c r="A11" s="14" t="str">
        <x:v>Postman assertions passed</x:v>
      </x:c>
      <x:c r="B11" s="17" t="n">
        <x:f>'API Run'!C5</x:f>
        <x:v>31</x:v>
      </x:c>
      <x:c r="C11" s="27"/>
      <x:c r="D11" s="14" t="str">
        <x:v>Environments</x:v>
      </x:c>
      <x:c r="E11" s="14" t="str">
        <x:v>Flutter Web/Chrome, Flutter widget tests, FastAPI/Uvicorn, local database</x:v>
      </x:c>
      <x:c r="F11" s="14" t="str">
        <x:v>No production environment or real customer data</x:v>
      </x:c>
    </x:row>
    <x:row r="12">
      <x:c r="A12" s="27"/>
      <x:c r="B12" s="27"/>
      <x:c r="C12" s="27"/>
      <x:c r="D12" s="27"/>
      <x:c r="E12" s="27"/>
      <x:c r="F12" s="27"/>
    </x:row>
    <x:row r="13" ht="30" customHeight="1">
      <x:c r="A13" s="29" t="str">
        <x:v>Resume-ready evidence</x:v>
      </x:c>
      <x:c r="B13" s="29" t="str">
        <x:v>What you can safely say</x:v>
      </x:c>
      <x:c r="C13" s="29"/>
      <x:c r="D13" s="29"/>
      <x:c r="E13" s="29"/>
      <x:c r="F13" s="29"/>
    </x:row>
    <x:row r="14" ht="15" hidden="0" customHeight="1">
      <x:c r="A14" s="14" t="str">
        <x:v>Manual testing</x:v>
      </x:c>
      <x:c r="B14" s="14" t="str">
        <x:v>Executed responsive and workflow checks across Customers, Sales, Sale Return, Stock, Purchases, Purchase Returns, and Supplier Payments.</x:v>
      </x:c>
      <x:c r="C14" s="14"/>
      <x:c r="D14" s="14"/>
      <x:c r="E14" s="14"/>
      <x:c r="F14" s="14"/>
    </x:row>
    <x:row r="15" ht="15" hidden="0" customHeight="1">
      <x:c r="A15" s="14" t="str">
        <x:v>Defect lifecycle</x:v>
      </x:c>
      <x:c r="B15" s="14" t="str">
        <x:v>Reproduced failures, captured logs/HTTP responses, isolated root causes, added regressions, retested fixes, and verified clean Git state.</x:v>
      </x:c>
      <x:c r="C15" s="14"/>
      <x:c r="D15" s="14"/>
      <x:c r="E15" s="14"/>
      <x:c r="F15" s="14"/>
    </x:row>
    <x:row r="16" ht="15" hidden="0" customHeight="1">
      <x:c r="A16" s="14" t="str">
        <x:v>Test documentation</x:v>
      </x:c>
      <x:c r="B16" s="14" t="str">
        <x:v>Authored formal test cases and a defect ledger for the Bhavani Garments ERP portfolio.</x:v>
      </x:c>
      <x:c r="C16" s="14"/>
      <x:c r="D16" s="14"/>
      <x:c r="E16" s="14"/>
      <x:c r="F16" s="14"/>
    </x:row>
    <x:row r="17" ht="15" hidden="0" customHeight="1">
      <x:c r="A17" s="14" t="str">
        <x:v>API testing</x:v>
      </x:c>
      <x:c r="B17" s="14" t="str">
        <x:v>Built and executed a Postman collection for bearer authentication, positive, negative, validation, and controlled CRUD checks; 31 of 31 assertions passed.</x:v>
      </x:c>
      <x:c r="C17" s="14"/>
      <x:c r="D17" s="14"/>
      <x:c r="E17" s="14"/>
      <x:c r="F17" s="14"/>
    </x:row>
    <x:row r="18" ht="15" hidden="0" customHeight="1">
      <x:c r="A18" s="14" t="str">
        <x:v>Important</x:v>
      </x:c>
      <x:c r="B18" s="14" t="str">
        <x:v>Postman and Jira execution are now proven. Describe both as hands-on project exposure, not specialist experience. Do not claim TestRail or Zephyr usage.</x:v>
      </x:c>
      <x:c r="C18" s="14"/>
      <x:c r="D18" s="14"/>
      <x:c r="E18" s="14"/>
      <x:c r="F18" s="14"/>
    </x:row>
  </x:sheetData>
  <x:mergeCells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6" hidden="0" customWidth="1"/>
    <x:col min="3" max="3" width="52" hidden="0" customWidth="1"/>
    <x:col min="4" max="4" width="40" hidden="0" customWidth="1"/>
  </x:cols>
  <x:sheetData>
    <x:row r="1" ht="30" customHeight="1">
      <x:c r="A1" s="26" t="str">
        <x:v>Test Plan — Bhavani Garments ERP</x:v>
      </x:c>
      <x:c r="B1" s="27"/>
      <x:c r="C1" s="27"/>
      <x:c r="D1" s="27"/>
    </x:row>
    <x:row r="2" ht="22" customHeight="1">
      <x:c r="A2" s="28" t="str">
        <x:v>Formal STLC and Agile-aligned test approach for a Flutter front end and FastAPI backend</x:v>
      </x:c>
      <x:c r="B2" s="27"/>
      <x:c r="C2" s="27"/>
      <x:c r="D2" s="27"/>
    </x:row>
    <x:row r="3">
      <x:c r="A3" s="27"/>
      <x:c r="B3" s="27"/>
      <x:c r="C3" s="27"/>
      <x:c r="D3" s="27"/>
    </x:row>
    <x:row r="4" ht="15" hidden="0" customHeight="1">
      <x:c r="A4" s="29" t="str">
        <x:v>Section</x:v>
      </x:c>
      <x:c r="B4" s="29" t="str">
        <x:v>Definition</x:v>
      </x:c>
      <x:c r="C4" s="29" t="str">
        <x:v>Project application</x:v>
      </x:c>
      <x:c r="D4" s="29" t="str">
        <x:v>Exit evidence</x:v>
      </x:c>
    </x:row>
    <x:row r="5" ht="24" hidden="0" customHeight="1">
      <x:c r="A5" s="14" t="str">
        <x:v>Objective</x:v>
      </x:c>
      <x:c r="B5" s="14" t="str">
        <x:v>Validate core retail workflows, responsive layout, accessibility, error safety, and financial/data integrity.</x:v>
      </x:c>
      <x:c r="C5" s="14" t="str">
        <x:v>Customer, sales, return, stock, purchase, supplier-payment, and dashboard modules.</x:v>
      </x:c>
      <x:c r="D5" s="14" t="str">
        <x:v>Acceptance criteria met; critical regressions pass.</x:v>
      </x:c>
    </x:row>
    <x:row r="6" ht="24" hidden="0" customHeight="1">
      <x:c r="A6" s="14" t="str">
        <x:v>In scope</x:v>
      </x:c>
      <x:c r="B6" s="14" t="str">
        <x:v>Functional, negative, boundary, responsive, accessibility, regression, API contract, and defect retesting.</x:v>
      </x:c>
      <x:c r="C6" s="14" t="str">
        <x:v>390×844, 768×900, 1440×900, 1920×1080 plus transient near-zero widths.</x:v>
      </x:c>
      <x:c r="D6" s="14" t="str">
        <x:v>Test Cases and API Coverage sheets.</x:v>
      </x:c>
    </x:row>
    <x:row r="7" ht="24" hidden="0" customHeight="1">
      <x:c r="A7" s="14" t="str">
        <x:v>Out of scope</x:v>
      </x:c>
      <x:c r="B7" s="14" t="str">
        <x:v>Production load, penetration testing, real payment gateways, production database mutation, and device-farm coverage.</x:v>
      </x:c>
      <x:c r="C7" s="14" t="str">
        <x:v>Local development and test doubles only unless explicitly noted.</x:v>
      </x:c>
      <x:c r="D7" s="14" t="str">
        <x:v>Limitations documented; no inflated claims.</x:v>
      </x:c>
    </x:row>
    <x:row r="8" ht="24" hidden="0" customHeight="1">
      <x:c r="A8" s="14" t="str">
        <x:v>Entry criteria</x:v>
      </x:c>
      <x:c r="B8" s="14" t="str">
        <x:v>Build available; requirements understood; test data defined; environment reachable; working tree controlled.</x:v>
      </x:c>
      <x:c r="C8" s="14" t="str">
        <x:v>Clean Git preflights, backend-free widget seams, local Uvicorn for selected manual checks.</x:v>
      </x:c>
      <x:c r="D8" s="14" t="str">
        <x:v>Branch/HEAD and environment recorded.</x:v>
      </x:c>
    </x:row>
    <x:row r="9" ht="24" hidden="0" customHeight="1">
      <x:c r="A9" s="14" t="str">
        <x:v>Test design</x:v>
      </x:c>
      <x:c r="B9" s="14" t="str">
        <x:v>Use positive, negative, boundary, state-transition, equivalence-partition, and risk-based cases.</x:v>
      </x:c>
      <x:c r="C9" s="14" t="str">
        <x:v>Zero width, long text, large quantities, missing records, duplicates, stale requests, API failures.</x:v>
      </x:c>
      <x:c r="D9" s="14" t="str">
        <x:v>Traceable cases with expected outcomes.</x:v>
      </x:c>
    </x:row>
    <x:row r="10" ht="24" hidden="0" customHeight="1">
      <x:c r="A10" s="14" t="str">
        <x:v>Execution</x:v>
      </x:c>
      <x:c r="B10" s="14" t="str">
        <x:v>Run focused tests first, relevant regressions next, then full analysis and full suite.</x:v>
      </x:c>
      <x:c r="C10" s="14" t="str">
        <x:v>Manual Chrome checks supplement automated Flutter tests.</x:v>
      </x:c>
      <x:c r="D10" s="14" t="str">
        <x:v>Command output and browser/server logs.</x:v>
      </x:c>
    </x:row>
    <x:row r="11" ht="24" hidden="0" customHeight="1">
      <x:c r="A11" s="14" t="str">
        <x:v>Defect lifecycle</x:v>
      </x:c>
      <x:c r="B11" s="14" t="str">
        <x:v>To Do → In Progress → Ready for QA → Done; reopen when retest fails.</x:v>
      </x:c>
      <x:c r="C11" s="14" t="str">
        <x:v>Severity and priority are recorded separately in the Jira-backed Defect Log.</x:v>
      </x:c>
      <x:c r="D11" s="14" t="str">
        <x:v>Fix commit plus automated regression and manual retest.</x:v>
      </x:c>
    </x:row>
    <x:row r="12" ht="24" hidden="0" customHeight="1">
      <x:c r="A12" s="14" t="str">
        <x:v>Exit criteria</x:v>
      </x:c>
      <x:c r="B12" s="14" t="str">
        <x:v>No open blocker/critical defects; focused and full suites pass; no framework exceptions; approved scope only.</x:v>
      </x:c>
      <x:c r="C12" s="14" t="str">
        <x:v>Latest documented full suite: 350 passed after Customers UI work.</x:v>
      </x:c>
      <x:c r="D12" s="14" t="str">
        <x:v>Clean diff/status and merged pull request.</x:v>
      </x:c>
    </x:row>
    <x:row r="13" ht="24" hidden="0" customHeight="1">
      <x:c r="A13" s="14" t="str">
        <x:v>Data strategy</x:v>
      </x:c>
      <x:c r="B13" s="14" t="str">
        <x:v>Use synthetic IDs and non-sensitive local data; do not store credentials or tokens in artifacts.</x:v>
      </x:c>
      <x:c r="C13" s="14" t="str">
        <x:v>Postman environment contains blanks/placeholders and optional mutation requests are clearly isolated.</x:v>
      </x:c>
      <x:c r="D13" s="14" t="str">
        <x:v>No secrets or customer data in portfolio.</x:v>
      </x:c>
    </x:row>
    <x:row r="14" ht="24" hidden="0" customHeight="1">
      <x:c r="A14" s="14" t="str">
        <x:v>Risk: financial logic</x:v>
      </x:c>
      <x:c r="B14" s="14" t="str">
        <x:v>Incorrect quantity, refund, balance, GST, or allocation can corrupt accounts.</x:v>
      </x:c>
      <x:c r="C14" s="14" t="str">
        <x:v>Highest priority goes to returns, payments, and stock allocation rules.</x:v>
      </x:c>
      <x:c r="D14" s="14" t="str">
        <x:v>Boundary cases and exact payload assertions.</x:v>
      </x:c>
    </x:row>
    <x:row r="15" ht="24" hidden="0" customHeight="1">
      <x:c r="A15" s="14" t="str">
        <x:v>Risk: responsive UI</x:v>
      </x:c>
      <x:c r="B15" s="14" t="str">
        <x:v>Transient constraints can cause negative widths, overflow, or inaccessible actions.</x:v>
      </x:c>
      <x:c r="C15" s="14" t="str">
        <x:v>Near-zero viewport recovery and four target viewport sizes.</x:v>
      </x:c>
      <x:c r="D15" s="14" t="str">
        <x:v>No RenderFlex/BoxConstraints exceptions.</x:v>
      </x:c>
    </x:row>
    <x:row r="16" ht="24" hidden="0" customHeight="1">
      <x:c r="A16" s="14" t="str">
        <x:v>Agile mapping</x:v>
      </x:c>
      <x:c r="B16" s="14" t="str">
        <x:v>Backlog → branch → implement → focused test → regression → manual verification → PR → merge.</x:v>
      </x:c>
      <x:c r="C16" s="14" t="str">
        <x:v>Each modernized module followed a feature-branch and pull-request workflow.</x:v>
      </x:c>
      <x:c r="D16" s="14" t="str">
        <x:v>Commit/merge IDs in Defect Log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53f4131cb728454d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20" hidden="0" customWidth="1"/>
    <x:col min="5" max="5" width="12" hidden="0" customWidth="1"/>
    <x:col min="6" max="6" width="34" hidden="0" customWidth="1"/>
    <x:col min="7" max="7" width="52" hidden="0" customWidth="1"/>
    <x:col min="8" max="8" width="32" hidden="0" customWidth="1"/>
    <x:col min="9" max="9" width="48" hidden="0" customWidth="1"/>
    <x:col min="10" max="10" width="40" hidden="0" customWidth="1"/>
    <x:col min="11" max="11" width="12" hidden="0" customWidth="1"/>
    <x:col min="12" max="12" width="46" hidden="0" customWidth="1"/>
  </x:cols>
  <x:sheetData>
    <x:row r="1" ht="30" customHeight="1">
      <x:c r="A1" s="26" t="str">
        <x:v>Formal Test Cases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22" customHeight="1">
      <x:c r="A2" s="28" t="str">
        <x:v>Executed status is based on automated suites, manual browser/server verification, or the verified Postman Collection Runner execution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15" hidden="0" customHeight="1">
      <x:c r="A4" s="29" t="str">
        <x:v>Test Case ID</x:v>
      </x:c>
      <x:c r="B4" s="29" t="str">
        <x:v>Module</x:v>
      </x:c>
      <x:c r="C4" s="29" t="str">
        <x:v>Scenario</x:v>
      </x:c>
      <x:c r="D4" s="29" t="str">
        <x:v>Test Type</x:v>
      </x:c>
      <x:c r="E4" s="29" t="str">
        <x:v>Priority</x:v>
      </x:c>
      <x:c r="F4" s="29" t="str">
        <x:v>Preconditions</x:v>
      </x:c>
      <x:c r="G4" s="29" t="str">
        <x:v>Steps</x:v>
      </x:c>
      <x:c r="H4" s="29" t="str">
        <x:v>Test Data</x:v>
      </x:c>
      <x:c r="I4" s="29" t="str">
        <x:v>Expected Result</x:v>
      </x:c>
      <x:c r="J4" s="29" t="str">
        <x:v>Actual Result</x:v>
      </x:c>
      <x:c r="K4" s="29" t="str">
        <x:v>Status</x:v>
      </x:c>
      <x:c r="L4" s="29" t="str">
        <x:v>Evidence / Notes</x:v>
      </x:c>
    </x:row>
    <x:row r="5" ht="15" hidden="0" customHeight="1">
      <x:c r="A5" s="14" t="str">
        <x:v>TC-001</x:v>
      </x:c>
      <x:c r="B5" s="14" t="str">
        <x:v>Authentication</x:v>
      </x:c>
      <x:c r="C5" s="14" t="str">
        <x:v>Login with valid local credentials</x:v>
      </x:c>
      <x:c r="D5" s="14" t="str">
        <x:v>Functional</x:v>
      </x:c>
      <x:c r="E5" s="14" t="str">
        <x:v>Critical</x:v>
      </x:c>
      <x:c r="F5" s="14" t="str">
        <x:v>Backend running; valid local user exists</x:v>
      </x:c>
      <x:c r="G5" s="14" t="str">
        <x:v>1. Open app 2. Enter valid email/password 3. Submit</x:v>
      </x:c>
      <x:c r="H5" s="14" t="str">
        <x:v>Configured local account</x:v>
      </x:c>
      <x:c r="I5" s="14" t="str">
        <x:v>Dashboard opens and authenticated API calls succeed</x:v>
      </x:c>
      <x:c r="J5" s="14" t="str">
        <x:v>Dashboard opened successfully</x:v>
      </x:c>
      <x:c r="K5" s="14" t="str">
        <x:v>Pass</x:v>
      </x:c>
      <x:c r="L5" s="14" t="str">
        <x:v>Manual verification reported during backend connection setup</x:v>
      </x:c>
    </x:row>
    <x:row r="6" ht="15" hidden="0" customHeight="1">
      <x:c r="A6" s="14" t="str">
        <x:v>TC-002</x:v>
      </x:c>
      <x:c r="B6" s="14" t="str">
        <x:v>Customers</x:v>
      </x:c>
      <x:c r="C6" s="14" t="str">
        <x:v>Customer catalog fits compact viewport</x:v>
      </x:c>
      <x:c r="D6" s="14" t="str">
        <x:v>Responsive</x:v>
      </x:c>
      <x:c r="E6" s="14" t="str">
        <x:v>High</x:v>
      </x:c>
      <x:c r="F6" s="14" t="str">
        <x:v>Customer data service stubbed</x:v>
      </x:c>
      <x:c r="G6" s="14" t="str">
        <x:v>1. Set viewport 390×844 2. Open Customers 3. Scroll catalog</x:v>
      </x:c>
      <x:c r="H6" s="14" t="str">
        <x:v>Long names, phones, addresses</x:v>
      </x:c>
      <x:c r="I6" s="14" t="str">
        <x:v>No overflow; AppBar full width; one-column lazy list</x:v>
      </x:c>
      <x:c r="J6" s="14" t="str">
        <x:v>Matched expected layout</x:v>
      </x:c>
      <x:c r="K6" s="14" t="str">
        <x:v>Pass</x:v>
      </x:c>
      <x:c r="L6" s="14" t="str">
        <x:v>customers_ui_test.dart; focused suite 54 passed</x:v>
      </x:c>
    </x:row>
    <x:row r="7" ht="15" hidden="0" customHeight="1">
      <x:c r="A7" s="14" t="str">
        <x:v>TC-003</x:v>
      </x:c>
      <x:c r="B7" s="14" t="str">
        <x:v>Customers</x:v>
      </x:c>
      <x:c r="C7" s="14" t="str">
        <x:v>Customer catalog remains centered on desktop</x:v>
      </x:c>
      <x:c r="D7" s="14" t="str">
        <x:v>Responsive</x:v>
      </x:c>
      <x:c r="E7" s="14" t="str">
        <x:v>Medium</x:v>
      </x:c>
      <x:c r="F7" s="14" t="str">
        <x:v>Customer data service stubbed</x:v>
      </x:c>
      <x:c r="G7" s="14" t="str">
        <x:v>1. Set viewport 1440×900 2. Open Customers</x:v>
      </x:c>
      <x:c r="H7" s="14" t="str">
        <x:v>Standard and long records</x:v>
      </x:c>
      <x:c r="I7" s="14" t="str">
        <x:v>Body is centered and capped at 960 px; search capped at 560 px</x:v>
      </x:c>
      <x:c r="J7" s="14" t="str">
        <x:v>Exact bounds verified</x:v>
      </x:c>
      <x:c r="K7" s="14" t="str">
        <x:v>Pass</x:v>
      </x:c>
      <x:c r="L7" s="14" t="str">
        <x:v>customers_ui_test.dart geometry assertions</x:v>
      </x:c>
    </x:row>
    <x:row r="8" ht="15" hidden="0" customHeight="1">
      <x:c r="A8" s="14" t="str">
        <x:v>TC-004</x:v>
      </x:c>
      <x:c r="B8" s="14" t="str">
        <x:v>Customers</x:v>
      </x:c>
      <x:c r="C8" s="14" t="str">
        <x:v>Search by literal phone fragment</x:v>
      </x:c>
      <x:c r="D8" s="14" t="str">
        <x:v>Functional</x:v>
      </x:c>
      <x:c r="E8" s="14" t="str">
        <x:v>High</x:v>
      </x:c>
      <x:c r="F8" s="14" t="str">
        <x:v>Multiple customer records loaded</x:v>
      </x:c>
      <x:c r="G8" s="14" t="str">
        <x:v>1. Enter phone fragment 2. Observe filtered list 3. Clear search</x:v>
      </x:c>
      <x:c r="H8" s="14" t="str">
        <x:v>Phone fragment with digits</x:v>
      </x:c>
      <x:c r="I8" s="14" t="str">
        <x:v>Only matching records display; service order is preserved</x:v>
      </x:c>
      <x:c r="J8" s="14" t="str">
        <x:v>Matched expected filtering</x:v>
      </x:c>
      <x:c r="K8" s="14" t="str">
        <x:v>Pass</x:v>
      </x:c>
      <x:c r="L8" s="14" t="str">
        <x:v>Customer search regression coverage</x:v>
      </x:c>
    </x:row>
    <x:row r="9" ht="15" hidden="0" customHeight="1">
      <x:c r="A9" s="14" t="str">
        <x:v>TC-005</x:v>
      </x:c>
      <x:c r="B9" s="14" t="str">
        <x:v>Customers</x:v>
      </x:c>
      <x:c r="C9" s="14" t="str">
        <x:v>Create form rejects invalid required data</x:v>
      </x:c>
      <x:c r="D9" s="14" t="str">
        <x:v>Negative</x:v>
      </x:c>
      <x:c r="E9" s="14" t="str">
        <x:v>High</x:v>
      </x:c>
      <x:c r="F9" s="14" t="str">
        <x:v>Create sheet open</x:v>
      </x:c>
      <x:c r="G9" s="14" t="str">
        <x:v>1. Leave required values invalid 2. Tap Save</x:v>
      </x:c>
      <x:c r="H9" s="14" t="str">
        <x:v>Blank/invalid name or phone</x:v>
      </x:c>
      <x:c r="I9" s="14" t="str">
        <x:v>Validation appears inside sheet; no service mutation</x:v>
      </x:c>
      <x:c r="J9" s="14" t="str">
        <x:v>Request was not sent</x:v>
      </x:c>
      <x:c r="K9" s="14" t="str">
        <x:v>Pass</x:v>
      </x:c>
      <x:c r="L9" s="14" t="str">
        <x:v>Customer form validation tests</x:v>
      </x:c>
    </x:row>
    <x:row r="10" ht="24" hidden="0" customHeight="1">
      <x:c r="A10" s="14" t="str">
        <x:v>TC-006</x:v>
      </x:c>
      <x:c r="B10" s="14" t="str">
        <x:v>Customers</x:v>
      </x:c>
      <x:c r="C10" s="14" t="str">
        <x:v>Create, edit, and delete preserve exact service arguments</x:v>
      </x:c>
      <x:c r="D10" s="14" t="str">
        <x:v>Integration (mocked)</x:v>
      </x:c>
      <x:c r="E10" s="14" t="str">
        <x:v>Critical</x:v>
      </x:c>
      <x:c r="F10" s="14" t="str">
        <x:v>Fake service records calls</x:v>
      </x:c>
      <x:c r="G10" s="14" t="str">
        <x:v>1. Submit create 2. Edit record 3. Confirm delete</x:v>
      </x:c>
      <x:c r="H10" s="14" t="str">
        <x:v>Trimmed identity/contact fields</x:v>
      </x:c>
      <x:c r="I10" s="14" t="str">
        <x:v>Exact arguments reach service and successful actions reload catalog</x:v>
      </x:c>
      <x:c r="J10" s="14" t="str">
        <x:v>Arguments and reload decisions matched</x:v>
      </x:c>
      <x:c r="K10" s="14" t="str">
        <x:v>Pass</x:v>
      </x:c>
      <x:c r="L10" s="14" t="str">
        <x:v>Customer CRUD widget tests</x:v>
      </x:c>
    </x:row>
    <x:row r="11" ht="24" hidden="0" customHeight="1">
      <x:c r="A11" s="14" t="str">
        <x:v>TC-007</x:v>
      </x:c>
      <x:c r="B11" s="14" t="str">
        <x:v>Billing</x:v>
      </x:c>
      <x:c r="C11" s="14" t="str">
        <x:v>Billing workspace adapts across supported viewports</x:v>
      </x:c>
      <x:c r="D11" s="14" t="str">
        <x:v>Responsive</x:v>
      </x:c>
      <x:c r="E11" s="14" t="str">
        <x:v>High</x:v>
      </x:c>
      <x:c r="F11" s="14" t="str">
        <x:v>Billing widget test data available</x:v>
      </x:c>
      <x:c r="G11" s="14" t="str">
        <x:v>1. Run at 390×844, 768×900, 1440×900, 1920×1080</x:v>
      </x:c>
      <x:c r="H11" s="14" t="str">
        <x:v>Long product/customer values</x:v>
      </x:c>
      <x:c r="I11" s="14" t="str">
        <x:v>Controls remain reachable with no overflow</x:v>
      </x:c>
      <x:c r="J11" s="14" t="str">
        <x:v>All responsive cases passed</x:v>
      </x:c>
      <x:c r="K11" s="14" t="str">
        <x:v>Pass</x:v>
      </x:c>
      <x:c r="L11" s="14" t="str">
        <x:v>billing_responsive_layout_test.dart; 18 tests passed in cited regression run</x:v>
      </x:c>
    </x:row>
    <x:row r="12" ht="24" hidden="0" customHeight="1">
      <x:c r="A12" s="14" t="str">
        <x:v>TC-008</x:v>
      </x:c>
      <x:c r="B12" s="14" t="str">
        <x:v>Sales</x:v>
      </x:c>
      <x:c r="C12" s="14" t="str">
        <x:v>Sales history loads concurrently and remains service ordered</x:v>
      </x:c>
      <x:c r="D12" s="14" t="str">
        <x:v>Functional</x:v>
      </x:c>
      <x:c r="E12" s="14" t="str">
        <x:v>High</x:v>
      </x:c>
      <x:c r="F12" s="14" t="str">
        <x:v>Sale and customer services stubbed</x:v>
      </x:c>
      <x:c r="G12" s="14" t="str">
        <x:v>1. Open Sales 2. Wait for load 3. Inspect card order</x:v>
      </x:c>
      <x:c r="H12" s="14" t="str">
        <x:v>Multiple dated sales</x:v>
      </x:c>
      <x:c r="I12" s="14" t="str">
        <x:v>Sales render in service-returned order with safe loading state</x:v>
      </x:c>
      <x:c r="J12" s="14" t="str">
        <x:v>Order and calls matched</x:v>
      </x:c>
      <x:c r="K12" s="14" t="str">
        <x:v>Pass</x:v>
      </x:c>
      <x:c r="L12" s="14" t="str">
        <x:v>sales_ui_test.dart; 19 passed</x:v>
      </x:c>
    </x:row>
    <x:row r="13" ht="15" hidden="0" customHeight="1">
      <x:c r="A13" s="14" t="str">
        <x:v>TC-009</x:v>
      </x:c>
      <x:c r="B13" s="14" t="str">
        <x:v>Sales</x:v>
      </x:c>
      <x:c r="C13" s="14" t="str">
        <x:v>Search by supported invoice/customer fields</x:v>
      </x:c>
      <x:c r="D13" s="14" t="str">
        <x:v>Functional</x:v>
      </x:c>
      <x:c r="E13" s="14" t="str">
        <x:v>Medium</x:v>
      </x:c>
      <x:c r="F13" s="14" t="str">
        <x:v>Sales loaded</x:v>
      </x:c>
      <x:c r="G13" s="14" t="str">
        <x:v>1. Enter supported search value 2. Clear search</x:v>
      </x:c>
      <x:c r="H13" s="14" t="str">
        <x:v>Invoice/customer fragments</x:v>
      </x:c>
      <x:c r="I13" s="14" t="str">
        <x:v>Only matching sales display; empty-filter state is distinct</x:v>
      </x:c>
      <x:c r="J13" s="14" t="str">
        <x:v>Matched expected results</x:v>
      </x:c>
      <x:c r="K13" s="14" t="str">
        <x:v>Pass</x:v>
      </x:c>
      <x:c r="L13" s="14" t="str">
        <x:v>Sales search tests</x:v>
      </x:c>
    </x:row>
    <x:row r="14" ht="15" hidden="0" customHeight="1">
      <x:c r="A14" s="14" t="str">
        <x:v>TC-010</x:v>
      </x:c>
      <x:c r="B14" s="14" t="str">
        <x:v>Sales</x:v>
      </x:c>
      <x:c r="C14" s="14" t="str">
        <x:v>Open bounded sale details</x:v>
      </x:c>
      <x:c r="D14" s="14" t="str">
        <x:v>Functional</x:v>
      </x:c>
      <x:c r="E14" s="14" t="str">
        <x:v>High</x:v>
      </x:c>
      <x:c r="F14" s="14" t="str">
        <x:v>At least one sale exists</x:v>
      </x:c>
      <x:c r="G14" s="14" t="str">
        <x:v>1. Tap sale card 2. Wait for detail request 3. Inspect sheet</x:v>
      </x:c>
      <x:c r="H14" s="14" t="str">
        <x:v>Long invoice/customer/item values</x:v>
      </x:c>
      <x:c r="I14" s="14" t="str">
        <x:v>Centered scrollable sheet displays values without raw failures</x:v>
      </x:c>
      <x:c r="J14" s="14" t="str">
        <x:v>Matched expected behavior</x:v>
      </x:c>
      <x:c r="K14" s="14" t="str">
        <x:v>Pass</x:v>
      </x:c>
      <x:c r="L14" s="14" t="str">
        <x:v>Sales detail-sheet tests</x:v>
      </x:c>
    </x:row>
    <x:row r="15" ht="15" hidden="0" customHeight="1">
      <x:c r="A15" s="14" t="str">
        <x:v>TC-011</x:v>
      </x:c>
      <x:c r="B15" s="14" t="str">
        <x:v>Sale Return</x:v>
      </x:c>
      <x:c r="C15" s="14" t="str">
        <x:v>Allocate returned quantity to K stock</x:v>
      </x:c>
      <x:c r="D15" s="14" t="str">
        <x:v>Functional</x:v>
      </x:c>
      <x:c r="E15" s="14" t="str">
        <x:v>Critical</x:v>
      </x:c>
      <x:c r="F15" s="14" t="str">
        <x:v>Eligible sale with remaining K quantity</x:v>
      </x:c>
      <x:c r="G15" s="14" t="str">
        <x:v>1. Open Sale Return 2. Increment K 3. Enter reason 4. Confirm</x:v>
      </x:c>
      <x:c r="H15" s="14" t="str">
        <x:v>K=1, R=0</x:v>
      </x:c>
      <x:c r="I15" s="14" t="str">
        <x:v>Payload quantity equals K+R and refund is calculated exactly</x:v>
      </x:c>
      <x:c r="J15" s="14" t="str">
        <x:v>Exact payload asserted</x:v>
      </x:c>
      <x:c r="K15" s="14" t="str">
        <x:v>Pass</x:v>
      </x:c>
      <x:c r="L15" s="14" t="str">
        <x:v>sale_return_ui_test.dart; 25 passed</x:v>
      </x:c>
    </x:row>
    <x:row r="16" ht="15" hidden="0" customHeight="1">
      <x:c r="A16" s="14" t="str">
        <x:v>TC-012</x:v>
      </x:c>
      <x:c r="B16" s="14" t="str">
        <x:v>Sale Return</x:v>
      </x:c>
      <x:c r="C16" s="14" t="str">
        <x:v>Allocate returned quantity to R stock</x:v>
      </x:c>
      <x:c r="D16" s="14" t="str">
        <x:v>Functional</x:v>
      </x:c>
      <x:c r="E16" s="14" t="str">
        <x:v>Critical</x:v>
      </x:c>
      <x:c r="F16" s="14" t="str">
        <x:v>Eligible sale with remaining R quantity</x:v>
      </x:c>
      <x:c r="G16" s="14" t="str">
        <x:v>1. Increment R 2. Enter reason 3. Confirm</x:v>
      </x:c>
      <x:c r="H16" s="14" t="str">
        <x:v>K=0, R=1</x:v>
      </x:c>
      <x:c r="I16" s="14" t="str">
        <x:v>Payload retains separate R allocation and exact refund</x:v>
      </x:c>
      <x:c r="J16" s="14" t="str">
        <x:v>Exact payload asserted</x:v>
      </x:c>
      <x:c r="K16" s="14" t="str">
        <x:v>Pass</x:v>
      </x:c>
      <x:c r="L16" s="14" t="str">
        <x:v>Sale Return payload regression</x:v>
      </x:c>
    </x:row>
    <x:row r="17" ht="15" hidden="0" customHeight="1">
      <x:c r="A17" s="14" t="str">
        <x:v>TC-013</x:v>
      </x:c>
      <x:c r="B17" s="14" t="str">
        <x:v>Sale Return</x:v>
      </x:c>
      <x:c r="C17" s="14" t="str">
        <x:v>Reject confirmation when no item selected</x:v>
      </x:c>
      <x:c r="D17" s="14" t="str">
        <x:v>Negative</x:v>
      </x:c>
      <x:c r="E17" s="14" t="str">
        <x:v>High</x:v>
      </x:c>
      <x:c r="F17" s="14" t="str">
        <x:v>Sale Return form open</x:v>
      </x:c>
      <x:c r="G17" s="14" t="str">
        <x:v>1. Leave all quantities at zero 2. Tap Confirm Return</x:v>
      </x:c>
      <x:c r="H17" s="14" t="str">
        <x:v>No items</x:v>
      </x:c>
      <x:c r="I17" s="14" t="str">
        <x:v>Validation says select at least one item; service not called</x:v>
      </x:c>
      <x:c r="J17" s="14" t="str">
        <x:v>Validation displayed; zero calls</x:v>
      </x:c>
      <x:c r="K17" s="14" t="str">
        <x:v>Pass</x:v>
      </x:c>
      <x:c r="L17" s="14" t="str">
        <x:v>Compact, desktop, and keyboard-height geometry tests</x:v>
      </x:c>
    </x:row>
    <x:row r="18" ht="24" hidden="0" customHeight="1">
      <x:c r="A18" s="14" t="str">
        <x:v>TC-014</x:v>
      </x:c>
      <x:c r="B18" s="14" t="str">
        <x:v>Sale Return</x:v>
      </x:c>
      <x:c r="C18" s="14" t="str">
        <x:v>Creation failure hides backend details and preserves form</x:v>
      </x:c>
      <x:c r="D18" s="14" t="str">
        <x:v>Negative</x:v>
      </x:c>
      <x:c r="E18" s="14" t="str">
        <x:v>Critical</x:v>
      </x:c>
      <x:c r="F18" s="14" t="str">
        <x:v>Fake service returns exception</x:v>
      </x:c>
      <x:c r="G18" s="14" t="str">
        <x:v>1. Select item 2. Enter reason 3. Confirm 4. Observe failure</x:v>
      </x:c>
      <x:c r="H18" s="14" t="str">
        <x:v>Exception containing private backend detail</x:v>
      </x:c>
      <x:c r="I18" s="14" t="str">
        <x:v>Safe fixed message appears above action; quantities/reason remain; retry possible</x:v>
      </x:c>
      <x:c r="J18" s="14" t="str">
        <x:v>Safe message and retained state verified</x:v>
      </x:c>
      <x:c r="K18" s="14" t="str">
        <x:v>Pass</x:v>
      </x:c>
      <x:c r="L18" s="14" t="str">
        <x:v>Sale Return creation-failure tests</x:v>
      </x:c>
    </x:row>
    <x:row r="19" ht="24" hidden="0" customHeight="1">
      <x:c r="A19" s="14" t="str">
        <x:v>TC-015</x:v>
      </x:c>
      <x:c r="B19" s="14" t="str">
        <x:v>Sale Return</x:v>
      </x:c>
      <x:c r="C19" s="14" t="str">
        <x:v>Successful return closes route with true</x:v>
      </x:c>
      <x:c r="D19" s="14" t="str">
        <x:v>Navigation</x:v>
      </x:c>
      <x:c r="E19" s="14" t="str">
        <x:v>High</x:v>
      </x:c>
      <x:c r="F19" s="14" t="str">
        <x:v>Valid selected return</x:v>
      </x:c>
      <x:c r="G19" s="14" t="str">
        <x:v>1. Submit 2. Wait for success dialog 3. Tap DONE</x:v>
      </x:c>
      <x:c r="H19" s="14" t="str">
        <x:v>Successful SaleReturn response</x:v>
      </x:c>
      <x:c r="I19" s="14" t="str">
        <x:v>Dialog shows result and route returns true</x:v>
      </x:c>
      <x:c r="J19" s="14" t="str">
        <x:v>Route returned true</x:v>
      </x:c>
      <x:c r="K19" s="14" t="str">
        <x:v>Pass</x:v>
      </x:c>
      <x:c r="L19" s="14" t="str">
        <x:v>Sale Return route-result test; manual POST /sale-return/create returned 200</x:v>
      </x:c>
    </x:row>
    <x:row r="20" ht="15" hidden="0" customHeight="1">
      <x:c r="A20" s="14" t="str">
        <x:v>TC-016</x:v>
      </x:c>
      <x:c r="B20" s="14" t="str">
        <x:v>Stock</x:v>
      </x:c>
      <x:c r="C20" s="14" t="str">
        <x:v>Card survives transient zero width</x:v>
      </x:c>
      <x:c r="D20" s="14" t="str">
        <x:v>Boundary</x:v>
      </x:c>
      <x:c r="E20" s="14" t="str">
        <x:v>Critical</x:v>
      </x:c>
      <x:c r="F20" s="14" t="str">
        <x:v>Real StockListCard mounted</x:v>
      </x:c>
      <x:c r="G20" s="14" t="str">
        <x:v>1. Set width 0 2. Pump 3. Restore 358 px</x:v>
      </x:c>
      <x:c r="H20" s="14" t="str">
        <x:v>K=99; statuses OUT/LOW/IN STOCK</x:v>
      </x:c>
      <x:c r="I20" s="14" t="str">
        <x:v>No negative constraints; content returns after width recovers</x:v>
      </x:c>
      <x:c r="J20" s="14" t="str">
        <x:v>No exception and all values restored</x:v>
      </x:c>
      <x:c r="K20" s="14" t="str">
        <x:v>Pass</x:v>
      </x:c>
      <x:c r="L20" s="14" t="str">
        <x:v>stock_ui_test.dart; fix commit 25dcc2a</x:v>
      </x:c>
    </x:row>
    <x:row r="21" ht="15" hidden="0" customHeight="1">
      <x:c r="A21" s="14" t="str">
        <x:v>TC-017</x:v>
      </x:c>
      <x:c r="B21" s="14" t="str">
        <x:v>Stock</x:v>
      </x:c>
      <x:c r="C21" s="14" t="str">
        <x:v>Lazy list scrolls through late rows and back</x:v>
      </x:c>
      <x:c r="D21" s="14" t="str">
        <x:v>Regression</x:v>
      </x:c>
      <x:c r="E21" s="14" t="str">
        <x:v>High</x:v>
      </x:c>
      <x:c r="F21" s="14" t="str">
        <x:v>30 stock records</x:v>
      </x:c>
      <x:c r="G21" s="14" t="str">
        <x:v>1. Perform repeated downward drags 2. Verify final row 3. Scroll back</x:v>
      </x:c>
      <x:c r="H21" s="14" t="str">
        <x:v>30 varied records</x:v>
      </x:c>
      <x:c r="I21" s="14" t="str">
        <x:v>Late rows build with no framework exception</x:v>
      </x:c>
      <x:c r="J21" s="14" t="str">
        <x:v>Bidirectional scroll passed</x:v>
      </x:c>
      <x:c r="K21" s="14" t="str">
        <x:v>Pass</x:v>
      </x:c>
      <x:c r="L21" s="14" t="str">
        <x:v>96 checked Stock scroll steps</x:v>
      </x:c>
    </x:row>
    <x:row r="22" ht="15" hidden="0" customHeight="1">
      <x:c r="A22" s="14" t="str">
        <x:v>TC-018</x:v>
      </x:c>
      <x:c r="B22" s="14" t="str">
        <x:v>Stock Movement</x:v>
      </x:c>
      <x:c r="C22" s="14" t="str">
        <x:v>Long and large movement records scroll safely</x:v>
      </x:c>
      <x:c r="D22" s="14" t="str">
        <x:v>Regression</x:v>
      </x:c>
      <x:c r="E22" s="14" t="str">
        <x:v>High</x:v>
      </x:c>
      <x:c r="F22" s="14" t="str">
        <x:v>30 movement records</x:v>
      </x:c>
      <x:c r="G22" s="14" t="str">
        <x:v>1. Open history 2. Scroll end-to-end repeatedly 3. Pop route</x:v>
      </x:c>
      <x:c r="H22" s="14" t="str">
        <x:v>Long text; positive/negative/zero quantities</x:v>
      </x:c>
      <x:c r="I22" s="14" t="str">
        <x:v>No overflow or exception; final lazy row is reachable</x:v>
      </x:c>
      <x:c r="J22" s="14" t="str">
        <x:v>All steps passed</x:v>
      </x:c>
      <x:c r="K22" s="14" t="str">
        <x:v>Pass</x:v>
      </x:c>
      <x:c r="L22" s="14" t="str">
        <x:v>stock_movement_ui_test.dart; 18 passed</x:v>
      </x:c>
    </x:row>
    <x:row r="23" ht="24" hidden="0" customHeight="1">
      <x:c r="A23" s="14" t="str">
        <x:v>TC-019</x:v>
      </x:c>
      <x:c r="B23" s="14" t="str">
        <x:v>Low Stock</x:v>
      </x:c>
      <x:c r="C23" s="14" t="str">
        <x:v>Inclusion and suggestion boundaries remain correct</x:v>
      </x:c>
      <x:c r="D23" s="14" t="str">
        <x:v>Boundary</x:v>
      </x:c>
      <x:c r="E23" s="14" t="str">
        <x:v>Critical</x:v>
      </x:c>
      <x:c r="F23" s="14" t="str">
        <x:v>Stock and variants stubbed</x:v>
      </x:c>
      <x:c r="G23" s="14" t="str">
        <x:v>1. Load records at below/equal/above minimum 2. Inspect list and suggestions</x:v>
      </x:c>
      <x:c r="H23" s="14" t="str">
        <x:v>K/R minimums including zero</x:v>
      </x:c>
      <x:c r="I23" s="14" t="str">
        <x:v>Existing model remains authority; equality is low; zero minimum is unconfigured</x:v>
      </x:c>
      <x:c r="J23" s="14" t="str">
        <x:v>Rules preserved</x:v>
      </x:c>
      <x:c r="K23" s="14" t="str">
        <x:v>Pass</x:v>
      </x:c>
      <x:c r="L23" s="14" t="str">
        <x:v>low_stock_ui_test.dart; 18 passed</x:v>
      </x:c>
    </x:row>
    <x:row r="24" ht="24" hidden="0" customHeight="1">
      <x:c r="A24" s="14" t="str">
        <x:v>TC-020</x:v>
      </x:c>
      <x:c r="B24" s="14" t="str">
        <x:v>Purchases</x:v>
      </x:c>
      <x:c r="C24" s="14" t="str">
        <x:v>Compact purchase form keeps Create Purchase reachable</x:v>
      </x:c>
      <x:c r="D24" s="14" t="str">
        <x:v>Responsive</x:v>
      </x:c>
      <x:c r="E24" s="14" t="str">
        <x:v>High</x:v>
      </x:c>
      <x:c r="F24" s="14" t="str">
        <x:v>Purchase services stubbed</x:v>
      </x:c>
      <x:c r="G24" s="14" t="str">
        <x:v>1. Set 390×844 2. Populate line controls 3. Scroll</x:v>
      </x:c>
      <x:c r="H24" s="14" t="str">
        <x:v>Long variant/supplier values</x:v>
      </x:c>
      <x:c r="I24" s="14" t="str">
        <x:v>Form scrolls independently and fixed action remains reachable</x:v>
      </x:c>
      <x:c r="J24" s="14" t="str">
        <x:v>Matched expected geometry</x:v>
      </x:c>
      <x:c r="K24" s="14" t="str">
        <x:v>Pass</x:v>
      </x:c>
      <x:c r="L24" s="14" t="str">
        <x:v>purchases_ui_test.dart; 17 passed</x:v>
      </x:c>
    </x:row>
    <x:row r="25" ht="24" hidden="0" customHeight="1">
      <x:c r="A25" s="14" t="str">
        <x:v>TC-021</x:v>
      </x:c>
      <x:c r="B25" s="14" t="str">
        <x:v>Purchases</x:v>
      </x:c>
      <x:c r="C25" s="14" t="str">
        <x:v>Create request preserves exact calculations and payload</x:v>
      </x:c>
      <x:c r="D25" s="14" t="str">
        <x:v>Integration (mocked)</x:v>
      </x:c>
      <x:c r="E25" s="14" t="str">
        <x:v>Critical</x:v>
      </x:c>
      <x:c r="F25" s="14" t="str">
        <x:v>Valid supplier and line selected</x:v>
      </x:c>
      <x:c r="G25" s="14" t="str">
        <x:v>1. Select variant 2. Enter quantities/prices 3. Submit</x:v>
      </x:c>
      <x:c r="H25" s="14" t="str">
        <x:v>GST, invoice, K/R allocation</x:v>
      </x:c>
      <x:c r="I25" s="14" t="str">
        <x:v>Exact service arguments and totals match audited legacy behavior</x:v>
      </x:c>
      <x:c r="J25" s="14" t="str">
        <x:v>Arguments matched</x:v>
      </x:c>
      <x:c r="K25" s="14" t="str">
        <x:v>Pass</x:v>
      </x:c>
      <x:c r="L25" s="14" t="str">
        <x:v>Purchases creation regression</x:v>
      </x:c>
    </x:row>
    <x:row r="26" ht="24" hidden="0" customHeight="1">
      <x:c r="A26" s="14" t="str">
        <x:v>TC-022</x:v>
      </x:c>
      <x:c r="B26" s="14" t="str">
        <x:v>Purchase Returns</x:v>
      </x:c>
      <x:c r="C26" s="14" t="str">
        <x:v>Remaining K/R quantities cannot be exceeded</x:v>
      </x:c>
      <x:c r="D26" s="14" t="str">
        <x:v>Boundary</x:v>
      </x:c>
      <x:c r="E26" s="14" t="str">
        <x:v>Critical</x:v>
      </x:c>
      <x:c r="F26" s="14" t="str">
        <x:v>Prior returns exist</x:v>
      </x:c>
      <x:c r="G26" s="14" t="str">
        <x:v>1. Load purchase 2. Attempt allocations at boundaries</x:v>
      </x:c>
      <x:c r="H26" s="14" t="str">
        <x:v>Previous returns across statuses</x:v>
      </x:c>
      <x:c r="I26" s="14" t="str">
        <x:v>Remaining quantities aggregate and clamp correctly; invalid values blocked</x:v>
      </x:c>
      <x:c r="J26" s="14" t="str">
        <x:v>Boundary calculations passed</x:v>
      </x:c>
      <x:c r="K26" s="14" t="str">
        <x:v>Pass</x:v>
      </x:c>
      <x:c r="L26" s="14" t="str">
        <x:v>purchase_returns_ui_test.dart; 26 passed</x:v>
      </x:c>
    </x:row>
    <x:row r="27" ht="15" hidden="0" customHeight="1">
      <x:c r="A27" s="14" t="str">
        <x:v>TC-023</x:v>
      </x:c>
      <x:c r="B27" s="14" t="str">
        <x:v>Purchase Returns</x:v>
      </x:c>
      <x:c r="C27" s="14" t="str">
        <x:v>AppBar recovers from near-zero viewport</x:v>
      </x:c>
      <x:c r="D27" s="14" t="str">
        <x:v>Boundary</x:v>
      </x:c>
      <x:c r="E27" s="14" t="str">
        <x:v>High</x:v>
      </x:c>
      <x:c r="F27" s="14" t="str">
        <x:v>Real screen mounted</x:v>
      </x:c>
      <x:c r="G27" s="14" t="str">
        <x:v>1. Resize 390×844 to 1×1 2. Pump 3. Restore 390×844 4. Tap Refresh</x:v>
      </x:c>
      <x:c r="H27" s="14" t="str">
        <x:v>Transient 1 px width</x:v>
      </x:c>
      <x:c r="I27" s="14" t="str">
        <x:v>No overflow; Refresh returns and issues only expected list requests</x:v>
      </x:c>
      <x:c r="J27" s="14" t="str">
        <x:v>No exception; expected calls only</x:v>
      </x:c>
      <x:c r="K27" s="14" t="str">
        <x:v>Pass</x:v>
      </x:c>
      <x:c r="L27" s="14" t="str">
        <x:v>Regression added after 47 px overflow</x:v>
      </x:c>
    </x:row>
    <x:row r="28" ht="24" hidden="0" customHeight="1">
      <x:c r="A28" s="14" t="str">
        <x:v>TC-024</x:v>
      </x:c>
      <x:c r="B28" s="14" t="str">
        <x:v>Supplier Payments</x:v>
      </x:c>
      <x:c r="C28" s="14" t="str">
        <x:v>Supplier selection loads summary and ledger concurrently</x:v>
      </x:c>
      <x:c r="D28" s="14" t="str">
        <x:v>Functional</x:v>
      </x:c>
      <x:c r="E28" s="14" t="str">
        <x:v>Critical</x:v>
      </x:c>
      <x:c r="F28" s="14" t="str">
        <x:v>Supplier exists</x:v>
      </x:c>
      <x:c r="G28" s="14" t="str">
        <x:v>1. Select supplier 2. Observe requests and panels</x:v>
      </x:c>
      <x:c r="H28" s="14" t="str">
        <x:v>Supplier ID 3</x:v>
      </x:c>
      <x:c r="I28" s="14" t="str">
        <x:v>Summary and ledger load together; backend values remain authoritative</x:v>
      </x:c>
      <x:c r="J28" s="14" t="str">
        <x:v>UI tests passed; manual endpoints returned 200</x:v>
      </x:c>
      <x:c r="K28" s="14" t="str">
        <x:v>Pass</x:v>
      </x:c>
      <x:c r="L28" s="14" t="str">
        <x:v>supplier_payments_ui_test.dart; manual summary/ledger 200</x:v>
      </x:c>
    </x:row>
    <x:row r="29" ht="15" hidden="0" customHeight="1">
      <x:c r="A29" s="14" t="str">
        <x:v>TC-025</x:v>
      </x:c>
      <x:c r="B29" s="14" t="str">
        <x:v>Supplier Payments</x:v>
      </x:c>
      <x:c r="C29" s="14" t="str">
        <x:v>Detail failure renders safe retry state</x:v>
      </x:c>
      <x:c r="D29" s="14" t="str">
        <x:v>Negative</x:v>
      </x:c>
      <x:c r="E29" s="14" t="str">
        <x:v>High</x:v>
      </x:c>
      <x:c r="F29" s="14" t="str">
        <x:v>Summary or ledger request fails</x:v>
      </x:c>
      <x:c r="G29" s="14" t="str">
        <x:v>1. Select supplier 2. Inject detail failure 3. Tap Retry</x:v>
      </x:c>
      <x:c r="H29" s="14" t="str">
        <x:v>Controlled service exception</x:v>
      </x:c>
      <x:c r="I29" s="14" t="str">
        <x:v>No null assertion or raw detail; retry reloads only detail calls</x:v>
      </x:c>
      <x:c r="J29" s="14" t="str">
        <x:v>Safe state and call scope verified</x:v>
      </x:c>
      <x:c r="K29" s="14" t="str">
        <x:v>Pass</x:v>
      </x:c>
      <x:c r="L29" s="14" t="str">
        <x:v>Supplier Payments failure-path tests</x:v>
      </x:c>
    </x:row>
    <x:row r="30" ht="24" hidden="0" customHeight="1">
      <x:c r="A30" s="14" t="str">
        <x:v>TC-026</x:v>
      </x:c>
      <x:c r="B30" s="14" t="str">
        <x:v>Supplier Ledger API</x:v>
      </x:c>
      <x:c r="C30" s="14" t="str">
        <x:v>Mixed naive/aware datetimes sort without server error</x:v>
      </x:c>
      <x:c r="D30" s="14" t="str">
        <x:v>API / Regression</x:v>
      </x:c>
      <x:c r="E30" s="14" t="str">
        <x:v>Critical</x:v>
      </x:c>
      <x:c r="F30" s="14" t="str">
        <x:v>Backend fix applied; supplier has mixed timestamp sources</x:v>
      </x:c>
      <x:c r="G30" s="14" t="str">
        <x:v>1. GET summary 2. GET ledger 3. Inspect server status/order</x:v>
      </x:c>
      <x:c r="H30" s="14" t="str">
        <x:v>supplier_id=3</x:v>
      </x:c>
      <x:c r="I30" s="14" t="str">
        <x:v>Both endpoints return 200; ledger uses normalized comparison copies</x:v>
      </x:c>
      <x:c r="J30" s="14" t="str">
        <x:v>Summary 200; ledger 200</x:v>
      </x:c>
      <x:c r="K30" s="14" t="str">
        <x:v>Pass</x:v>
      </x:c>
      <x:c r="L30" s="14" t="str">
        <x:v>Manual Uvicorn log plus 7 focused backend tests; fix 0045561</x:v>
      </x:c>
    </x:row>
    <x:row r="31" ht="15" hidden="0" customHeight="1">
      <x:c r="A31" s="14" t="str">
        <x:v>TC-027</x:v>
      </x:c>
      <x:c r="B31" s="14" t="str">
        <x:v>Dashboard</x:v>
      </x:c>
      <x:c r="C31" s="14" t="str">
        <x:v>Dashboard regression navigation remains intact</x:v>
      </x:c>
      <x:c r="D31" s="14" t="str">
        <x:v>Regression</x:v>
      </x:c>
      <x:c r="E31" s="14" t="str">
        <x:v>High</x:v>
      </x:c>
      <x:c r="F31" s="14" t="str">
        <x:v>Screen dependencies stubbed</x:v>
      </x:c>
      <x:c r="G31" s="14" t="str">
        <x:v>1. Open Dashboard 2. Verify tiles/actions 3. Navigate and return</x:v>
      </x:c>
      <x:c r="H31" s="14" t="str">
        <x:v>Standard dashboard data</x:v>
      </x:c>
      <x:c r="I31" s="14" t="str">
        <x:v>No navigation or layout regression from module refactors</x:v>
      </x:c>
      <x:c r="J31" s="14" t="str">
        <x:v>Dashboard regression passed</x:v>
      </x:c>
      <x:c r="K31" s="14" t="str">
        <x:v>Pass</x:v>
      </x:c>
      <x:c r="L31" s="14" t="str">
        <x:v>dashboard_ui_test.dart; 8 passed in cited runs</x:v>
      </x:c>
    </x:row>
    <x:row r="32" ht="24" hidden="0" customHeight="1">
      <x:c r="A32" s="14" t="str">
        <x:v>TC-028</x:v>
      </x:c>
      <x:c r="B32" s="14" t="str">
        <x:v>API</x:v>
      </x:c>
      <x:c r="C32" s="14" t="str">
        <x:v>Authenticated customer list returns 200</x:v>
      </x:c>
      <x:c r="D32" s="14" t="str">
        <x:v>API / Postman</x:v>
      </x:c>
      <x:c r="E32" s="14" t="str">
        <x:v>High</x:v>
      </x:c>
      <x:c r="F32" s="14" t="str">
        <x:v>Local backend running; bearer token captured by Login request</x:v>
      </x:c>
      <x:c r="G32" s="14" t="str">
        <x:v>1. Run Login 2. Run List Customers</x:v>
      </x:c>
      <x:c r="H32" s="14" t="str">
        <x:v>base_url and shop_id</x:v>
      </x:c>
      <x:c r="I32" s="14" t="str">
        <x:v>HTTP 200 and JSON array</x:v>
      </x:c>
      <x:c r="J32" s="14" t="str">
        <x:v>HTTP 200; customer array assertion passed</x:v>
      </x:c>
      <x:c r="K32" s="14" t="str">
        <x:v>Pass</x:v>
      </x:c>
      <x:c r="L32" s="14" t="str">
        <x:v>Postman Collection Runner, 2026-10-03; 31/31 assertions passed</x:v>
      </x:c>
    </x:row>
    <x:row r="33" ht="15" hidden="0" customHeight="1">
      <x:c r="A33" s="14" t="str">
        <x:v>TC-029</x:v>
      </x:c>
      <x:c r="B33" s="14" t="str">
        <x:v>API</x:v>
      </x:c>
      <x:c r="C33" s="14" t="str">
        <x:v>Missing customer returns 404</x:v>
      </x:c>
      <x:c r="D33" s="14" t="str">
        <x:v>API / Postman</x:v>
      </x:c>
      <x:c r="E33" s="14" t="str">
        <x:v>Medium</x:v>
      </x:c>
      <x:c r="F33" s="14" t="str">
        <x:v>Bearer token captured</x:v>
      </x:c>
      <x:c r="G33" s="14" t="str">
        <x:v>1. Set missing_customer_id 2. GET customer details</x:v>
      </x:c>
      <x:c r="H33" s="14" t="str">
        <x:v>missing_customer_id=999999999</x:v>
      </x:c>
      <x:c r="I33" s="14" t="str">
        <x:v>HTTP 404 with JSON detail; no data mutation</x:v>
      </x:c>
      <x:c r="J33" s="14" t="str">
        <x:v>HTTP 404; structured error detail assertion passed</x:v>
      </x:c>
      <x:c r="K33" s="14" t="str">
        <x:v>Pass</x:v>
      </x:c>
      <x:c r="L33" s="14" t="str">
        <x:v>Postman Collection Runner, 2026-10-03</x:v>
      </x:c>
    </x:row>
    <x:row r="34" ht="24" hidden="0" customHeight="1">
      <x:c r="A34" s="14" t="str">
        <x:v>TC-030</x:v>
      </x:c>
      <x:c r="B34" s="14" t="str">
        <x:v>API</x:v>
      </x:c>
      <x:c r="C34" s="14" t="str">
        <x:v>Invalid sale-return request is rejected</x:v>
      </x:c>
      <x:c r="D34" s="14" t="str">
        <x:v>API / Postman</x:v>
      </x:c>
      <x:c r="E34" s="14" t="str">
        <x:v>Critical</x:v>
      </x:c>
      <x:c r="F34" s="14" t="str">
        <x:v>Bearer token captured; local test sale and variant IDs set</x:v>
      </x:c>
      <x:c r="G34" s="14" t="str">
        <x:v>1. Run invalid split request in Safe Validation folder</x:v>
      </x:c>
      <x:c r="H34" s="14" t="str">
        <x:v>quantity=2, K=1, R=0</x:v>
      </x:c>
      <x:c r="I34" s="14" t="str">
        <x:v>HTTP 422 schema validation; no return is created</x:v>
      </x:c>
      <x:c r="J34" s="14" t="str">
        <x:v>HTTP 422; validation detail assertion passed</x:v>
      </x:c>
      <x:c r="K34" s="14" t="str">
        <x:v>Pass</x:v>
      </x:c>
      <x:c r="L34" s="14" t="str">
        <x:v>Postman Collection Runner, 2026-10-03; non-mutating schema failure</x:v>
      </x:c>
    </x:row>
    <x:row r="35" ht="24" hidden="0" customHeight="1">
      <x:c r="A35" s="14" t="str">
        <x:v>TC-031</x:v>
      </x:c>
      <x:c r="B35" s="14" t="str">
        <x:v>API</x:v>
      </x:c>
      <x:c r="C35" s="14" t="str">
        <x:v>Protected customer endpoint rejects a missing token</x:v>
      </x:c>
      <x:c r="D35" s="14" t="str">
        <x:v>API / Postman</x:v>
      </x:c>
      <x:c r="E35" s="14" t="str">
        <x:v>High</x:v>
      </x:c>
      <x:c r="F35" s="14" t="str">
        <x:v>Local backend running; request Authorization set to No Auth</x:v>
      </x:c>
      <x:c r="G35" s="14" t="str">
        <x:v>1. Send List Customers Without Token 2. Inspect response and tests</x:v>
      </x:c>
      <x:c r="H35" s="14" t="str">
        <x:v>No bearer token</x:v>
      </x:c>
      <x:c r="I35" s="14" t="str">
        <x:v>HTTP 401 with structured authentication detail</x:v>
      </x:c>
      <x:c r="J35" s="14" t="str">
        <x:v>HTTP 401; authentication-detail assertion passed</x:v>
      </x:c>
      <x:c r="K35" s="14" t="str">
        <x:v>Pass</x:v>
      </x:c>
      <x:c r="L35" s="14" t="str">
        <x:v>Postman Collection Runner, 2026-10-03</x:v>
      </x:c>
    </x:row>
  </x:sheetData>
  <x:conditionalFormatting sqref="K5:K35">
    <x:cfRule type="containsText" dxfId="0" priority="1" operator="containsText" text="Pass"/>
    <x:cfRule type="containsText" dxfId="1" priority="2" operator="containsText" text="Fixed"/>
    <x:cfRule type="containsText" dxfId="2" priority="3" operator="containsText" text="Done"/>
    <x:cfRule type="containsText" dxfId="3" priority="4" operator="containsText" text="Not Run"/>
    <x:cfRule type="containsText" dxfId="4" priority="5" operator="containsText" text="Open"/>
  </x:conditionalFormatting>
  <x:dataValidations count="2">
    <x:dataValidation type="list" sqref="E5:E35">
      <x:formula1>"Critical,High,Medium,Low"</x:formula1>
    </x:dataValidation>
    <x:dataValidation type="list" sqref="K5:K35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ff388bae87415b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8" hidden="0" customWidth="1"/>
    <x:col min="4" max="4" width="12" hidden="0" customWidth="1"/>
    <x:col min="5" max="5" width="10" hidden="0" customWidth="1"/>
    <x:col min="6" max="6" width="25" hidden="0" customWidth="1"/>
    <x:col min="7" max="7" width="32" hidden="0" customWidth="1"/>
    <x:col min="8" max="8" width="48" hidden="0" customWidth="1"/>
    <x:col min="9" max="9" width="42" hidden="0" customWidth="1"/>
    <x:col min="10" max="10" width="48" hidden="0" customWidth="1"/>
    <x:col min="11" max="11" width="38" hidden="0" customWidth="1"/>
    <x:col min="12" max="12" width="50" hidden="0" customWidth="1"/>
    <x:col min="13" max="13" width="12" hidden="0" customWidth="1"/>
    <x:col min="14" max="14" width="42" hidden="0" customWidth="1"/>
    <x:col min="15" max="15" width="22" hidden="0" customWidth="1"/>
  </x:cols>
  <x:sheetData>
    <x:row r="1" ht="30" customHeight="1">
      <x:c r="A1" s="26" t="str">
        <x:v>Defect Log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</x:row>
    <x:row r="2" ht="22" customHeight="1">
      <x:c r="A2" s="28" t="str">
        <x:v>Real issues observed through browser logs, server traces, automated tests, or code-path audits; severity and priority are intentionally separate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 ht="15" hidden="0" customHeight="1">
      <x:c r="A4" s="29" t="str">
        <x:v>Defect ID</x:v>
      </x:c>
      <x:c r="B4" s="29" t="str">
        <x:v>Module</x:v>
      </x:c>
      <x:c r="C4" s="29" t="str">
        <x:v>Summary</x:v>
      </x:c>
      <x:c r="D4" s="29" t="str">
        <x:v>Severity</x:v>
      </x:c>
      <x:c r="E4" s="29" t="str">
        <x:v>Priority</x:v>
      </x:c>
      <x:c r="F4" s="29" t="str">
        <x:v>Environment</x:v>
      </x:c>
      <x:c r="G4" s="29" t="str">
        <x:v>Preconditions</x:v>
      </x:c>
      <x:c r="H4" s="29" t="str">
        <x:v>Steps to Reproduce</x:v>
      </x:c>
      <x:c r="I4" s="29" t="str">
        <x:v>Expected Result</x:v>
      </x:c>
      <x:c r="J4" s="29" t="str">
        <x:v>Actual Result</x:v>
      </x:c>
      <x:c r="K4" s="29" t="str">
        <x:v>Evidence</x:v>
      </x:c>
      <x:c r="L4" s="29" t="str">
        <x:v>Root Cause / Resolution</x:v>
      </x:c>
      <x:c r="M4" s="29" t="str">
        <x:v>Status</x:v>
      </x:c>
      <x:c r="N4" s="29" t="str">
        <x:v>Retest Result</x:v>
      </x:c>
      <x:c r="O4" s="29" t="str">
        <x:v>Reference</x:v>
      </x:c>
    </x:row>
    <x:row r="5" ht="24" hidden="0" customHeight="1">
      <x:c r="A5" s="14" t="str">
        <x:v>BGQA-4</x:v>
      </x:c>
      <x:c r="B5" s="14" t="str">
        <x:v>Stock</x:v>
      </x:c>
      <x:c r="C5" s="14" t="str">
        <x:v>Stock card crashes when rendered with transient zero-width constraints</x:v>
      </x:c>
      <x:c r="D5" s="14" t="str">
        <x:v>High</x:v>
      </x:c>
      <x:c r="E5" s="14" t="str">
        <x:v>P0</x:v>
      </x:c>
      <x:c r="F5" s="14" t="str">
        <x:v>Flutter Web / Chrome</x:v>
      </x:c>
      <x:c r="G5" s="14" t="str">
        <x:v>Stock screen contains lazy rows</x:v>
      </x:c>
      <x:c r="H5" s="14" t="str">
        <x:v>1. Open Stock 2. Resize or scroll while layout receives transient zero width 3. Inspect Flutter log</x:v>
      </x:c>
      <x:c r="I5" s="14" t="str">
        <x:v>Card should tolerate temporary zero width and recover when normal width returns</x:v>
      </x:c>
      <x:c r="J5" s="14" t="str">
        <x:v>Negative child width caused a BoxConstraints rendering exception</x:v>
      </x:c>
      <x:c r="K5" s="14" t="str">
        <x:v>Browser exception plus focused widget reproduction</x:v>
      </x:c>
      <x:c r="L5" s="14" t="str">
        <x:v>Guard StockListCard at non-positive width and rebuild normally when width returns</x:v>
      </x:c>
      <x:c r="M5" s="14" t="str">
        <x:v>Done</x:v>
      </x:c>
      <x:c r="N5" s="14" t="str">
        <x:v>Automated zero-width recovery and 96 scroll steps passed</x:v>
      </x:c>
      <x:c r="O5" s="14" t="str">
        <x:v>Fix 25dcc2a; PR #16; merge b193710</x:v>
      </x:c>
    </x:row>
    <x:row r="6" ht="24" hidden="0" customHeight="1">
      <x:c r="A6" s="14" t="str">
        <x:v>BGQA-5</x:v>
      </x:c>
      <x:c r="B6" s="14" t="str">
        <x:v>Supplier Ledger API</x:v>
      </x:c>
      <x:c r="C6" s="14" t="str">
        <x:v>Supplier ledger API returns 500 when transactions contain mixed timezone datetimes</x:v>
      </x:c>
      <x:c r="D6" s="14" t="str">
        <x:v>High</x:v>
      </x:c>
      <x:c r="E6" s="14" t="str">
        <x:v>P0</x:v>
      </x:c>
      <x:c r="F6" s="14" t="str">
        <x:v>FastAPI / local database</x:v>
      </x:c>
      <x:c r="G6" s="14" t="str">
        <x:v>Supplier ledger contains offset-naive and offset-aware timestamps</x:v>
      </x:c>
      <x:c r="H6" s="14" t="str">
        <x:v>1. GET /supplier-payment/supplier/3/ledger 2. Inspect status and server trace</x:v>
      </x:c>
      <x:c r="I6" s="14" t="str">
        <x:v>HTTP 200 with chronologically sorted transactions</x:v>
      </x:c>
      <x:c r="J6" s="14" t="str">
        <x:v>HTTP 500 TypeError: cannot compare offset-naive and offset-aware datetimes</x:v>
      </x:c>
      <x:c r="K6" s="14" t="str">
        <x:v>Full ASGI traceback at supplier_payment.py transaction sort</x:v>
      </x:c>
      <x:c r="L6" s="14" t="str">
        <x:v>Normalize local comparison copies while preserving response datetime objects</x:v>
      </x:c>
      <x:c r="M6" s="14" t="str">
        <x:v>Done</x:v>
      </x:c>
      <x:c r="N6" s="14" t="str">
        <x:v>Live endpoint returned 200; 7 focused and 78 backend tests passed</x:v>
      </x:c>
      <x:c r="O6" s="14" t="str">
        <x:v>Fix 0045561; PR #32; merge d7f5779</x:v>
      </x:c>
    </x:row>
    <x:row r="7" ht="24" hidden="0" customHeight="1">
      <x:c r="A7" s="14" t="str">
        <x:v>BGQA-6</x:v>
      </x:c>
      <x:c r="B7" s="14" t="str">
        <x:v>Purchase Returns</x:v>
      </x:c>
      <x:c r="C7" s="14" t="str">
        <x:v>Purchase Returns AppBar overflows during transient near-zero viewport width</x:v>
      </x:c>
      <x:c r="D7" s="14" t="str">
        <x:v>Medium</x:v>
      </x:c>
      <x:c r="E7" s="14" t="str">
        <x:v>P1</x:v>
      </x:c>
      <x:c r="F7" s="14" t="str">
        <x:v>Flutter Web / Chrome</x:v>
      </x:c>
      <x:c r="G7" s="14" t="str">
        <x:v>Purchase Returns screen remains mounted during resize</x:v>
      </x:c>
      <x:c r="H7" s="14" t="str">
        <x:v>1. Resize from 390×844 through 1×1 2. Restore 390×844 3. Inspect log and Refresh</x:v>
      </x:c>
      <x:c r="I7" s="14" t="str">
        <x:v>No overflow; Refresh action returns and remains usable</x:v>
      </x:c>
      <x:c r="J7" s="14" t="str">
        <x:v>AppBar RenderFlex overflowed by 47 px at 1.3 px width</x:v>
      </x:c>
      <x:c r="K7" s="14" t="str">
        <x:v>Browser log identified purchase_returns_screen.dart AppBar</x:v>
      </x:c>
      <x:c r="L7" s="14" t="str">
        <x:v>Hide trailing Refresh below 48 px and restore it unchanged after recovery</x:v>
      </x:c>
      <x:c r="M7" s="14" t="str">
        <x:v>Done</x:v>
      </x:c>
      <x:c r="N7" s="14" t="str">
        <x:v>1×1 → 390×844 regression passed; 26 focused and 218 full tests passed</x:v>
      </x:c>
      <x:c r="O7" s="14" t="str">
        <x:v>Fix f8d7641; PR #19; merge 7944c00</x:v>
      </x:c>
    </x:row>
    <x:row r="8" ht="24" hidden="0" customHeight="1">
      <x:c r="A8" s="14" t="str">
        <x:v>BGQA-7</x:v>
      </x:c>
      <x:c r="B8" s="14" t="str">
        <x:v>Sale Return</x:v>
      </x:c>
      <x:c r="C8" s="14" t="str">
        <x:v>Sale Return error message covers fixed Confirm Return action</x:v>
      </x:c>
      <x:c r="D8" s="14" t="str">
        <x:v>Medium</x:v>
      </x:c>
      <x:c r="E8" s="14" t="str">
        <x:v>P1</x:v>
      </x:c>
      <x:c r="F8" s="14" t="str">
        <x:v>Flutter Web / compact viewport</x:v>
      </x:c>
      <x:c r="G8" s="14" t="str">
        <x:v>Validation or creation request fails</x:v>
      </x:c>
      <x:c r="H8" s="14" t="str">
        <x:v>1. Trigger validation or backend failure 2. Observe Confirm Return area</x:v>
      </x:c>
      <x:c r="I8" s="14" t="str">
        <x:v>Message should remain visible without blocking the retry action</x:v>
      </x:c>
      <x:c r="J8" s="14" t="str">
        <x:v>Floating SnackBar overlapped the fixed Confirm Return control</x:v>
      </x:c>
      <x:c r="K8" s="14" t="str">
        <x:v>Manual browser finding followed by compact/desktop/keyboard geometry tests</x:v>
      </x:c>
      <x:c r="L8" s="14" t="str">
        <x:v>Place safe-area and keyboard-aware SnackBar above the fixed action</x:v>
      </x:c>
      <x:c r="M8" s="14" t="str">
        <x:v>Done</x:v>
      </x:c>
      <x:c r="N8" s="14" t="str">
        <x:v>25 focused, 19 Sales integration, and 296 full tests passed</x:v>
      </x:c>
      <x:c r="O8" s="14" t="str">
        <x:v>Fix 6631e91; PR #22; merge 09cec52</x:v>
      </x:c>
    </x:row>
    <x:row r="9" ht="24" hidden="0" customHeight="1">
      <x:c r="A9" s="14" t="str">
        <x:v>BGQA-8</x:v>
      </x:c>
      <x:c r="B9" s="14" t="str">
        <x:v>Supplier Payments</x:v>
      </x:c>
      <x:c r="C9" s="14" t="str">
        <x:v>Supplier Payments detail view can crash when summary or ledger loading fails</x:v>
      </x:c>
      <x:c r="D9" s="14" t="str">
        <x:v>High</x:v>
      </x:c>
      <x:c r="E9" s="14" t="str">
        <x:v>P0</x:v>
      </x:c>
      <x:c r="F9" s="14" t="str">
        <x:v>Flutter Web / widget runtime</x:v>
      </x:c>
      <x:c r="G9" s="14" t="str">
        <x:v>One supplier detail request fails</x:v>
      </x:c>
      <x:c r="H9" s="14" t="str">
        <x:v>1. Select supplier 2. Fail summary or ledger request 3. Inspect detail view 4. Retry</x:v>
      </x:c>
      <x:c r="I9" s="14" t="str">
        <x:v>Safe detail error renders before values are accessed; Retry reloads detail only</x:v>
      </x:c>
      <x:c r="J9" s="14" t="str">
        <x:v>Null assertion risk occurred when one detail result was unavailable</x:v>
      </x:c>
      <x:c r="K9" s="14" t="str">
        <x:v>Failure-path audit and backend-free widget reproduction</x:v>
      </x:c>
      <x:c r="L9" s="14" t="str">
        <x:v>Store a separate detail error and render it before summary or ledger access</x:v>
      </x:c>
      <x:c r="M9" s="14" t="str">
        <x:v>Done</x:v>
      </x:c>
      <x:c r="N9" s="14" t="str">
        <x:v>34 focused, 54 relevant regression, and 252 full tests passed</x:v>
      </x:c>
      <x:c r="O9" s="14" t="str">
        <x:v>Fix 7f308c7; PR #20; merge e31eaf6</x:v>
      </x:c>
    </x:row>
  </x:sheetData>
  <x:conditionalFormatting sqref="M5:M9">
    <x:cfRule type="containsText" dxfId="5" priority="1" operator="containsText" text="Pass"/>
    <x:cfRule type="containsText" dxfId="6" priority="2" operator="containsText" text="Fixed"/>
    <x:cfRule type="containsText" dxfId="7" priority="3" operator="containsText" text="Done"/>
    <x:cfRule type="containsText" dxfId="8" priority="4" operator="containsText" text="Not Run"/>
    <x:cfRule type="containsText" dxfId="9" priority="5" operator="containsText" text="Open"/>
  </x:conditionalFormatting>
  <x:conditionalFormatting sqref="D5:D9">
    <x:cfRule type="containsText" dxfId="10" priority="6" operator="containsText" text="Critical"/>
    <x:cfRule type="containsText" dxfId="11" priority="7" operator="containsText" text="High"/>
  </x:conditionalFormatting>
  <x:dataValidations count="3">
    <x:dataValidation type="list" sqref="D5:D9">
      <x:formula1>"Critical,High,Medium,Low"</x:formula1>
    </x:dataValidation>
    <x:dataValidation type="list" sqref="E5:E9">
      <x:formula1>"P0,P1,P2,P3"</x:formula1>
    </x:dataValidation>
    <x:dataValidation type="list" sqref="M5:M9">
      <x:formula1>"To Do,In Progress,Ready for QA,Done"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ecf0086d06448d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0" hidden="0" customWidth="1"/>
    <x:col min="4" max="4" width="52" hidden="0" customWidth="1"/>
    <x:col min="5" max="5" width="12" hidden="0" customWidth="1"/>
    <x:col min="6" max="6" width="12" hidden="0" customWidth="1"/>
    <x:col min="7" max="7" width="16" hidden="0" customWidth="1"/>
    <x:col min="8" max="8" width="22" hidden="0" customWidth="1"/>
    <x:col min="9" max="9" width="12" hidden="0" customWidth="1"/>
    <x:col min="10" max="10" width="12" hidden="0" customWidth="1"/>
    <x:col min="11" max="11" width="15" hidden="0" customWidth="1"/>
    <x:col min="12" max="12" width="20" hidden="0" customWidth="1"/>
    <x:col min="13" max="13" width="50" hidden="0" customWidth="1"/>
  </x:cols>
  <x:sheetData>
    <x:row r="1" ht="30" customHeight="1">
      <x:c r="A1" s="26" t="str">
        <x:v>Postman API Coverage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22" customHeight="1">
      <x:c r="A2" s="28" t="str">
        <x:v>Executed 2026-10-03 in Postman Desktop against the local FastAPI environment; 16 requests and 31 of 31 assertions passed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 ht="15" hidden="0" customHeight="1">
      <x:c r="A4" s="29" t="str">
        <x:v>Request ID</x:v>
      </x:c>
      <x:c r="B4" s="29" t="str">
        <x:v>Folder</x:v>
      </x:c>
      <x:c r="C4" s="29" t="str">
        <x:v>Method</x:v>
      </x:c>
      <x:c r="D4" s="29" t="str">
        <x:v>Endpoint</x:v>
      </x:c>
      <x:c r="E4" s="29" t="str">
        <x:v>Expected</x:v>
      </x:c>
      <x:c r="F4" s="29" t="str">
        <x:v>Actual</x:v>
      </x:c>
      <x:c r="G4" s="29" t="str">
        <x:v>Authentication</x:v>
      </x:c>
      <x:c r="H4" s="29" t="str">
        <x:v>Mutation risk</x:v>
      </x:c>
      <x:c r="I4" s="29" t="str">
        <x:v>Assertions</x:v>
      </x:c>
      <x:c r="J4" s="29" t="str">
        <x:v>Status</x:v>
      </x:c>
      <x:c r="K4" s="29" t="str">
        <x:v>Run date</x:v>
      </x:c>
      <x:c r="L4" s="29" t="str">
        <x:v>Evidence</x:v>
      </x:c>
      <x:c r="M4" s="29" t="str">
        <x:v>Purpose</x:v>
      </x:c>
    </x:row>
    <x:row r="5" ht="15" hidden="0" customHeight="1">
      <x:c r="A5" s="14" t="str">
        <x:v>API-001</x:v>
      </x:c>
      <x:c r="B5" s="14" t="str">
        <x:v>Health</x:v>
      </x:c>
      <x:c r="C5" s="14" t="str">
        <x:v>GET</x:v>
      </x:c>
      <x:c r="D5" s="14" t="str">
        <x:v>/</x:v>
      </x:c>
      <x:c r="E5" s="14" t="n">
        <x:v>200</x:v>
      </x:c>
      <x:c r="F5" s="14" t="n">
        <x:v>200</x:v>
      </x:c>
      <x:c r="G5" s="14" t="str">
        <x:v>None</x:v>
      </x:c>
      <x:c r="H5" s="14" t="str">
        <x:v>None</x:v>
      </x:c>
      <x:c r="I5" s="14" t="n">
        <x:v>2</x:v>
      </x:c>
      <x:c r="J5" s="14" t="str">
        <x:v>Pass</x:v>
      </x:c>
      <x:c r="K5" s="20" t="d">
        <x:v>2026-10-03T00:00:00.000Z</x:v>
      </x:c>
      <x:c r="L5" s="14" t="str">
        <x:v>Runner summary</x:v>
      </x:c>
      <x:c r="M5" s="14" t="str">
        <x:v>Confirm FastAPI service is reachable</x:v>
      </x:c>
    </x:row>
    <x:row r="6" ht="15" hidden="0" customHeight="1">
      <x:c r="A6" s="14" t="str">
        <x:v>API-002</x:v>
      </x:c>
      <x:c r="B6" s="14" t="str">
        <x:v>Authentication</x:v>
      </x:c>
      <x:c r="C6" s="14" t="str">
        <x:v>POST</x:v>
      </x:c>
      <x:c r="D6" s="14" t="str">
        <x:v>/auth/login</x:v>
      </x:c>
      <x:c r="E6" s="14" t="n">
        <x:v>200</x:v>
      </x:c>
      <x:c r="F6" s="14" t="n">
        <x:v>200</x:v>
      </x:c>
      <x:c r="G6" s="14" t="str">
        <x:v>None</x:v>
      </x:c>
      <x:c r="H6" s="14" t="str">
        <x:v>None</x:v>
      </x:c>
      <x:c r="I6" s="14" t="n">
        <x:v>2</x:v>
      </x:c>
      <x:c r="J6" s="14" t="str">
        <x:v>Pass</x:v>
      </x:c>
      <x:c r="K6" s="20" t="d">
        <x:v>2026-10-03T00:00:00.000Z</x:v>
      </x:c>
      <x:c r="L6" s="14" t="str">
        <x:v>Runner summary</x:v>
      </x:c>
      <x:c r="M6" s="14" t="str">
        <x:v>Capture bearer access_token from form-encoded login</x:v>
      </x:c>
    </x:row>
    <x:row r="7" ht="15" hidden="0" customHeight="1">
      <x:c r="A7" s="14" t="str">
        <x:v>API-003</x:v>
      </x:c>
      <x:c r="B7" s="14" t="str">
        <x:v>Customers</x:v>
      </x:c>
      <x:c r="C7" s="14" t="str">
        <x:v>GET</x:v>
      </x:c>
      <x:c r="D7" s="14" t="str">
        <x:v>/customers/shop/{{shop_id}}</x:v>
      </x:c>
      <x:c r="E7" s="14" t="n">
        <x:v>200</x:v>
      </x:c>
      <x:c r="F7" s="14" t="n">
        <x:v>200</x:v>
      </x:c>
      <x:c r="G7" s="14" t="str">
        <x:v>Bearer</x:v>
      </x:c>
      <x:c r="H7" s="14" t="str">
        <x:v>None</x:v>
      </x:c>
      <x:c r="I7" s="14" t="n">
        <x:v>2</x:v>
      </x:c>
      <x:c r="J7" s="14" t="str">
        <x:v>Pass</x:v>
      </x:c>
      <x:c r="K7" s="20" t="d">
        <x:v>2026-10-03T00:00:00.000Z</x:v>
      </x:c>
      <x:c r="L7" s="14" t="str">
        <x:v>Runner summary</x:v>
      </x:c>
      <x:c r="M7" s="14" t="str">
        <x:v>List shop-scoped customers</x:v>
      </x:c>
    </x:row>
    <x:row r="8" ht="15" hidden="0" customHeight="1">
      <x:c r="A8" s="14" t="str">
        <x:v>API-004</x:v>
      </x:c>
      <x:c r="B8" s="14" t="str">
        <x:v>Customers</x:v>
      </x:c>
      <x:c r="C8" s="14" t="str">
        <x:v>GET</x:v>
      </x:c>
      <x:c r="D8" s="14" t="str">
        <x:v>/customers/{{customer_id}}</x:v>
      </x:c>
      <x:c r="E8" s="14" t="n">
        <x:v>200</x:v>
      </x:c>
      <x:c r="F8" s="14" t="n">
        <x:v>200</x:v>
      </x:c>
      <x:c r="G8" s="14" t="str">
        <x:v>Bearer</x:v>
      </x:c>
      <x:c r="H8" s="14" t="str">
        <x:v>None</x:v>
      </x:c>
      <x:c r="I8" s="14" t="n">
        <x:v>2</x:v>
      </x:c>
      <x:c r="J8" s="14" t="str">
        <x:v>Pass</x:v>
      </x:c>
      <x:c r="K8" s="20" t="d">
        <x:v>2026-10-03T00:00:00.000Z</x:v>
      </x:c>
      <x:c r="L8" s="14" t="str">
        <x:v>Runner summary</x:v>
      </x:c>
      <x:c r="M8" s="14" t="str">
        <x:v>Retrieve one existing customer</x:v>
      </x:c>
    </x:row>
    <x:row r="9" ht="15" hidden="0" customHeight="1">
      <x:c r="A9" s="14" t="str">
        <x:v>API-005</x:v>
      </x:c>
      <x:c r="B9" s="14" t="str">
        <x:v>Customers</x:v>
      </x:c>
      <x:c r="C9" s="14" t="str">
        <x:v>GET</x:v>
      </x:c>
      <x:c r="D9" s="14" t="str">
        <x:v>/customers/{{missing_customer_id}}</x:v>
      </x:c>
      <x:c r="E9" s="14" t="n">
        <x:v>404</x:v>
      </x:c>
      <x:c r="F9" s="14" t="n">
        <x:v>404</x:v>
      </x:c>
      <x:c r="G9" s="14" t="str">
        <x:v>Bearer</x:v>
      </x:c>
      <x:c r="H9" s="14" t="str">
        <x:v>None</x:v>
      </x:c>
      <x:c r="I9" s="14" t="n">
        <x:v>2</x:v>
      </x:c>
      <x:c r="J9" s="14" t="str">
        <x:v>Pass</x:v>
      </x:c>
      <x:c r="K9" s="20" t="d">
        <x:v>2026-10-03T00:00:00.000Z</x:v>
      </x:c>
      <x:c r="L9" s="14" t="str">
        <x:v>Runner summary</x:v>
      </x:c>
      <x:c r="M9" s="14" t="str">
        <x:v>Verify missing-resource contract</x:v>
      </x:c>
    </x:row>
    <x:row r="10" ht="15" hidden="0" customHeight="1">
      <x:c r="A10" s="14" t="str">
        <x:v>API-006</x:v>
      </x:c>
      <x:c r="B10" s="14" t="str">
        <x:v>Products</x:v>
      </x:c>
      <x:c r="C10" s="14" t="str">
        <x:v>GET</x:v>
      </x:c>
      <x:c r="D10" s="14" t="str">
        <x:v>/products</x:v>
      </x:c>
      <x:c r="E10" s="14" t="n">
        <x:v>200</x:v>
      </x:c>
      <x:c r="F10" s="14" t="n">
        <x:v>200</x:v>
      </x:c>
      <x:c r="G10" s="14" t="str">
        <x:v>Bearer</x:v>
      </x:c>
      <x:c r="H10" s="14" t="str">
        <x:v>None</x:v>
      </x:c>
      <x:c r="I10" s="14" t="n">
        <x:v>2</x:v>
      </x:c>
      <x:c r="J10" s="14" t="str">
        <x:v>Pass</x:v>
      </x:c>
      <x:c r="K10" s="20" t="d">
        <x:v>2026-10-03T00:00:00.000Z</x:v>
      </x:c>
      <x:c r="L10" s="14" t="str">
        <x:v>Runner summary</x:v>
      </x:c>
      <x:c r="M10" s="14" t="str">
        <x:v>List authenticated shop products</x:v>
      </x:c>
    </x:row>
    <x:row r="11" ht="15" hidden="0" customHeight="1">
      <x:c r="A11" s="14" t="str">
        <x:v>API-007</x:v>
      </x:c>
      <x:c r="B11" s="14" t="str">
        <x:v>Products</x:v>
      </x:c>
      <x:c r="C11" s="14" t="str">
        <x:v>GET</x:v>
      </x:c>
      <x:c r="D11" s="14" t="str">
        <x:v>/products/search?q={{product_query}}</x:v>
      </x:c>
      <x:c r="E11" s="14" t="n">
        <x:v>200</x:v>
      </x:c>
      <x:c r="F11" s="14" t="n">
        <x:v>200</x:v>
      </x:c>
      <x:c r="G11" s="14" t="str">
        <x:v>Bearer</x:v>
      </x:c>
      <x:c r="H11" s="14" t="str">
        <x:v>None</x:v>
      </x:c>
      <x:c r="I11" s="14" t="n">
        <x:v>2</x:v>
      </x:c>
      <x:c r="J11" s="14" t="str">
        <x:v>Pass</x:v>
      </x:c>
      <x:c r="K11" s="20" t="d">
        <x:v>2026-10-03T00:00:00.000Z</x:v>
      </x:c>
      <x:c r="L11" s="14" t="str">
        <x:v>Runner summary</x:v>
      </x:c>
      <x:c r="M11" s="14" t="str">
        <x:v>Verify query search response</x:v>
      </x:c>
    </x:row>
    <x:row r="12" ht="15" hidden="0" customHeight="1">
      <x:c r="A12" s="14" t="str">
        <x:v>API-008</x:v>
      </x:c>
      <x:c r="B12" s="14" t="str">
        <x:v>Dashboard</x:v>
      </x:c>
      <x:c r="C12" s="14" t="str">
        <x:v>GET</x:v>
      </x:c>
      <x:c r="D12" s="14" t="str">
        <x:v>/dashboard/summary</x:v>
      </x:c>
      <x:c r="E12" s="14" t="n">
        <x:v>200</x:v>
      </x:c>
      <x:c r="F12" s="14" t="n">
        <x:v>200</x:v>
      </x:c>
      <x:c r="G12" s="14" t="str">
        <x:v>Bearer</x:v>
      </x:c>
      <x:c r="H12" s="14" t="str">
        <x:v>None</x:v>
      </x:c>
      <x:c r="I12" s="14" t="n">
        <x:v>2</x:v>
      </x:c>
      <x:c r="J12" s="14" t="str">
        <x:v>Pass</x:v>
      </x:c>
      <x:c r="K12" s="20" t="d">
        <x:v>2026-10-03T00:00:00.000Z</x:v>
      </x:c>
      <x:c r="L12" s="14" t="str">
        <x:v>Runner summary</x:v>
      </x:c>
      <x:c r="M12" s="14" t="str">
        <x:v>Verify summary endpoint</x:v>
      </x:c>
    </x:row>
    <x:row r="13" ht="15" hidden="0" customHeight="1">
      <x:c r="A13" s="14" t="str">
        <x:v>API-009</x:v>
      </x:c>
      <x:c r="B13" s="14" t="str">
        <x:v>Sales</x:v>
      </x:c>
      <x:c r="C13" s="14" t="str">
        <x:v>GET</x:v>
      </x:c>
      <x:c r="D13" s="14" t="str">
        <x:v>/sales/{{sale_id}}</x:v>
      </x:c>
      <x:c r="E13" s="14" t="n">
        <x:v>200</x:v>
      </x:c>
      <x:c r="F13" s="14" t="n">
        <x:v>200</x:v>
      </x:c>
      <x:c r="G13" s="14" t="str">
        <x:v>Bearer</x:v>
      </x:c>
      <x:c r="H13" s="14" t="str">
        <x:v>None</x:v>
      </x:c>
      <x:c r="I13" s="14" t="n">
        <x:v>2</x:v>
      </x:c>
      <x:c r="J13" s="14" t="str">
        <x:v>Pass</x:v>
      </x:c>
      <x:c r="K13" s="20" t="d">
        <x:v>2026-10-03T00:00:00.000Z</x:v>
      </x:c>
      <x:c r="L13" s="14" t="str">
        <x:v>Runner summary</x:v>
      </x:c>
      <x:c r="M13" s="14" t="str">
        <x:v>Retrieve one sale and seed return verification</x:v>
      </x:c>
    </x:row>
    <x:row r="14" ht="15" hidden="0" customHeight="1">
      <x:c r="A14" s="14" t="str">
        <x:v>API-010</x:v>
      </x:c>
      <x:c r="B14" s="14" t="str">
        <x:v>Supplier Payments</x:v>
      </x:c>
      <x:c r="C14" s="14" t="str">
        <x:v>GET</x:v>
      </x:c>
      <x:c r="D14" s="14" t="str">
        <x:v>/supplier-payment/supplier/{{supplier_id}}/summary</x:v>
      </x:c>
      <x:c r="E14" s="14" t="n">
        <x:v>200</x:v>
      </x:c>
      <x:c r="F14" s="14" t="n">
        <x:v>200</x:v>
      </x:c>
      <x:c r="G14" s="14" t="str">
        <x:v>Bearer</x:v>
      </x:c>
      <x:c r="H14" s="14" t="str">
        <x:v>None</x:v>
      </x:c>
      <x:c r="I14" s="14" t="n">
        <x:v>2</x:v>
      </x:c>
      <x:c r="J14" s="14" t="str">
        <x:v>Pass</x:v>
      </x:c>
      <x:c r="K14" s="20" t="d">
        <x:v>2026-10-03T00:00:00.000Z</x:v>
      </x:c>
      <x:c r="L14" s="14" t="str">
        <x:v>Runner summary</x:v>
      </x:c>
      <x:c r="M14" s="14" t="str">
        <x:v>Verify supplier balance summary</x:v>
      </x:c>
    </x:row>
    <x:row r="15" ht="15" hidden="0" customHeight="1">
      <x:c r="A15" s="14" t="str">
        <x:v>API-011</x:v>
      </x:c>
      <x:c r="B15" s="14" t="str">
        <x:v>Supplier Payments</x:v>
      </x:c>
      <x:c r="C15" s="14" t="str">
        <x:v>GET</x:v>
      </x:c>
      <x:c r="D15" s="14" t="str">
        <x:v>/supplier-payment/supplier/{{supplier_id}}/ledger</x:v>
      </x:c>
      <x:c r="E15" s="14" t="n">
        <x:v>200</x:v>
      </x:c>
      <x:c r="F15" s="14" t="n">
        <x:v>200</x:v>
      </x:c>
      <x:c r="G15" s="14" t="str">
        <x:v>Bearer</x:v>
      </x:c>
      <x:c r="H15" s="14" t="str">
        <x:v>None</x:v>
      </x:c>
      <x:c r="I15" s="14" t="n">
        <x:v>2</x:v>
      </x:c>
      <x:c r="J15" s="14" t="str">
        <x:v>Pass</x:v>
      </x:c>
      <x:c r="K15" s="20" t="d">
        <x:v>2026-10-03T00:00:00.000Z</x:v>
      </x:c>
      <x:c r="L15" s="14" t="str">
        <x:v>Runner summary</x:v>
      </x:c>
      <x:c r="M15" s="14" t="str">
        <x:v>Regression for mixed-datetime 500</x:v>
      </x:c>
    </x:row>
    <x:row r="16" ht="15" hidden="0" customHeight="1">
      <x:c r="A16" s="14" t="str">
        <x:v>API-012</x:v>
      </x:c>
      <x:c r="B16" s="14" t="str">
        <x:v>Safe Validation</x:v>
      </x:c>
      <x:c r="C16" s="14" t="str">
        <x:v>GET</x:v>
      </x:c>
      <x:c r="D16" s="14" t="str">
        <x:v>/customers/shop/{{shop_id}}</x:v>
      </x:c>
      <x:c r="E16" s="14" t="n">
        <x:v>401</x:v>
      </x:c>
      <x:c r="F16" s="14" t="n">
        <x:v>401</x:v>
      </x:c>
      <x:c r="G16" s="14" t="str">
        <x:v>No Auth</x:v>
      </x:c>
      <x:c r="H16" s="14" t="str">
        <x:v>None</x:v>
      </x:c>
      <x:c r="I16" s="14" t="n">
        <x:v>2</x:v>
      </x:c>
      <x:c r="J16" s="14" t="str">
        <x:v>Pass</x:v>
      </x:c>
      <x:c r="K16" s="20" t="d">
        <x:v>2026-10-03T00:00:00.000Z</x:v>
      </x:c>
      <x:c r="L16" s="14" t="str">
        <x:v>Runner summary</x:v>
      </x:c>
      <x:c r="M16" s="14" t="str">
        <x:v>Verify protected route rejects a missing bearer token</x:v>
      </x:c>
    </x:row>
    <x:row r="17" ht="15" hidden="0" customHeight="1">
      <x:c r="A17" s="14" t="str">
        <x:v>API-013</x:v>
      </x:c>
      <x:c r="B17" s="14" t="str">
        <x:v>Safe Validation</x:v>
      </x:c>
      <x:c r="C17" s="14" t="str">
        <x:v>POST</x:v>
      </x:c>
      <x:c r="D17" s="14" t="str">
        <x:v>/sale-return/create</x:v>
      </x:c>
      <x:c r="E17" s="14" t="n">
        <x:v>422</x:v>
      </x:c>
      <x:c r="F17" s="14" t="n">
        <x:v>422</x:v>
      </x:c>
      <x:c r="G17" s="14" t="str">
        <x:v>Bearer</x:v>
      </x:c>
      <x:c r="H17" s="14" t="str">
        <x:v>Validation only</x:v>
      </x:c>
      <x:c r="I17" s="14" t="n">
        <x:v>2</x:v>
      </x:c>
      <x:c r="J17" s="14" t="str">
        <x:v>Pass</x:v>
      </x:c>
      <x:c r="K17" s="20" t="d">
        <x:v>2026-10-03T00:00:00.000Z</x:v>
      </x:c>
      <x:c r="L17" s="14" t="str">
        <x:v>Runner summary</x:v>
      </x:c>
      <x:c r="M17" s="14" t="str">
        <x:v>Reject quantity split mismatch before database mutation</x:v>
      </x:c>
    </x:row>
    <x:row r="18" ht="15" hidden="0" customHeight="1">
      <x:c r="A18" s="14" t="str">
        <x:v>API-014</x:v>
      </x:c>
      <x:c r="B18" s="14" t="str">
        <x:v>Optional Local Mutation</x:v>
      </x:c>
      <x:c r="C18" s="14" t="str">
        <x:v>POST</x:v>
      </x:c>
      <x:c r="D18" s="14" t="str">
        <x:v>/customers</x:v>
      </x:c>
      <x:c r="E18" s="14" t="n">
        <x:v>201</x:v>
      </x:c>
      <x:c r="F18" s="14" t="n">
        <x:v>201</x:v>
      </x:c>
      <x:c r="G18" s="14" t="str">
        <x:v>Bearer</x:v>
      </x:c>
      <x:c r="H18" s="14" t="str">
        <x:v>Creates local row</x:v>
      </x:c>
      <x:c r="I18" s="14" t="n">
        <x:v>2</x:v>
      </x:c>
      <x:c r="J18" s="14" t="str">
        <x:v>Pass</x:v>
      </x:c>
      <x:c r="K18" s="20" t="d">
        <x:v>2026-10-03T00:00:00.000Z</x:v>
      </x:c>
      <x:c r="L18" s="14" t="str">
        <x:v>Cleanup proof</x:v>
      </x:c>
      <x:c r="M18" s="14" t="str">
        <x:v>Create one synthetic customer in the local database</x:v>
      </x:c>
    </x:row>
    <x:row r="19" ht="15" hidden="0" customHeight="1">
      <x:c r="A19" s="14" t="str">
        <x:v>API-015</x:v>
      </x:c>
      <x:c r="B19" s="14" t="str">
        <x:v>Optional Local Mutation</x:v>
      </x:c>
      <x:c r="C19" s="14" t="str">
        <x:v>POST</x:v>
      </x:c>
      <x:c r="D19" s="14" t="str">
        <x:v>/customers</x:v>
      </x:c>
      <x:c r="E19" s="14" t="n">
        <x:v>400</x:v>
      </x:c>
      <x:c r="F19" s="14" t="n">
        <x:v>400</x:v>
      </x:c>
      <x:c r="G19" s="14" t="str">
        <x:v>Bearer</x:v>
      </x:c>
      <x:c r="H19" s="14" t="str">
        <x:v>Validation only</x:v>
      </x:c>
      <x:c r="I19" s="14" t="n">
        <x:v>2</x:v>
      </x:c>
      <x:c r="J19" s="14" t="str">
        <x:v>Pass</x:v>
      </x:c>
      <x:c r="K19" s="20" t="d">
        <x:v>2026-10-03T00:00:00.000Z</x:v>
      </x:c>
      <x:c r="L19" s="14" t="str">
        <x:v>Cleanup proof</x:v>
      </x:c>
      <x:c r="M19" s="14" t="str">
        <x:v>Repeat API-014 phone to verify duplicate-customer rejection</x:v>
      </x:c>
    </x:row>
    <x:row r="20" ht="15" hidden="0" customHeight="1">
      <x:c r="A20" s="14" t="str">
        <x:v>API-016</x:v>
      </x:c>
      <x:c r="B20" s="14" t="str">
        <x:v>Optional Local Mutation</x:v>
      </x:c>
      <x:c r="C20" s="14" t="str">
        <x:v>DELETE</x:v>
      </x:c>
      <x:c r="D20" s="14" t="str">
        <x:v>/customers/{{created_customer_id}}</x:v>
      </x:c>
      <x:c r="E20" s="14" t="n">
        <x:v>200</x:v>
      </x:c>
      <x:c r="F20" s="14" t="n">
        <x:v>200</x:v>
      </x:c>
      <x:c r="G20" s="14" t="str">
        <x:v>Bearer</x:v>
      </x:c>
      <x:c r="H20" s="14" t="str">
        <x:v>Deletes created row</x:v>
      </x:c>
      <x:c r="I20" s="14" t="n">
        <x:v>1</x:v>
      </x:c>
      <x:c r="J20" s="14" t="str">
        <x:v>Pass</x:v>
      </x:c>
      <x:c r="K20" s="20" t="d">
        <x:v>2026-10-03T00:00:00.000Z</x:v>
      </x:c>
      <x:c r="L20" s="14" t="str">
        <x:v>Cleanup proof</x:v>
      </x:c>
      <x:c r="M20" s="14" t="str">
        <x:v>Delete the captured synthetic customer and leave no test row</x:v>
      </x:c>
    </x:row>
  </x:sheetData>
  <x:conditionalFormatting sqref="J5:J20">
    <x:cfRule type="containsText" dxfId="12" priority="1" operator="containsText" text="Pass"/>
    <x:cfRule type="containsText" dxfId="13" priority="2" operator="containsText" text="Fixed"/>
    <x:cfRule type="containsText" dxfId="14" priority="3" operator="containsText" text="Done"/>
    <x:cfRule type="containsText" dxfId="15" priority="4" operator="containsText" text="Not Run"/>
    <x:cfRule type="containsText" dxfId="16" priority="5" operator="containsText" text="Open"/>
  </x:conditionalFormatting>
  <x:dataValidations count="1">
    <x:dataValidation type="list" sqref="J5:J20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327d8319044d19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2" hidden="0" customWidth="1"/>
  </x:cols>
  <x:sheetData>
    <x:row r="1" ht="30" customHeight="1">
      <x:c r="A1" s="26" t="str">
        <x:v>Postman Collection Run — 2026-10-03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22" customHeight="1">
      <x:c r="A2" s="28" t="str">
        <x:v>Local FastAPI environment; one iteration; credentials and bearer token excluded from the portfolio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30" customHeight="1">
      <x:c r="A4" s="29" t="str">
        <x:v>Requests</x:v>
      </x:c>
      <x:c r="B4" s="29" t="str">
        <x:v>Assertions</x:v>
      </x:c>
      <x:c r="C4" s="29" t="str">
        <x:v>Passed</x:v>
      </x:c>
      <x:c r="D4" s="29" t="str">
        <x:v>Failed</x:v>
      </x:c>
      <x:c r="E4" s="29" t="str">
        <x:v>Skipped</x:v>
      </x:c>
      <x:c r="F4" s="29" t="str">
        <x:v>Errors</x:v>
      </x:c>
      <x:c r="G4" s="29" t="str">
        <x:v>Iterations</x:v>
      </x:c>
      <x:c r="H4" s="29" t="str">
        <x:v>Duration</x:v>
      </x:c>
      <x:c r="I4" s="29" t="str">
        <x:v>Average response</x:v>
      </x:c>
      <x:c r="J4" s="29" t="str">
        <x:v>Cleanup</x:v>
      </x:c>
    </x:row>
    <x:row r="5">
      <x:c r="A5" s="30" t="n">
        <x:v>16</x:v>
      </x:c>
      <x:c r="B5" s="30" t="n">
        <x:v>31</x:v>
      </x:c>
      <x:c r="C5" s="30" t="n">
        <x:v>31</x:v>
      </x:c>
      <x:c r="D5" s="30" t="n">
        <x:v>0</x:v>
      </x:c>
      <x:c r="E5" s="30" t="n">
        <x:v>0</x:v>
      </x:c>
      <x:c r="F5" s="30" t="n">
        <x:v>0</x:v>
      </x:c>
      <x:c r="G5" s="30" t="n">
        <x:v>1</x:v>
      </x:c>
      <x:c r="H5" s="30" t="str">
        <x:v>3.813 seconds</x:v>
      </x:c>
      <x:c r="I5" s="30" t="str">
        <x:v>50 ms</x:v>
      </x:c>
      <x:c r="J5" s="30" t="str">
        <x:v>Synthetic customer deleted</x:v>
      </x:c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</x:row>
    <x:row r="8" ht="15" hidden="0" customHeight="1">
      <x:c r="A8" s="29" t="str">
        <x:v>Request ID</x:v>
      </x:c>
      <x:c r="B8" s="29" t="str">
        <x:v>Request</x:v>
      </x:c>
      <x:c r="C8" s="29" t="str">
        <x:v>Method</x:v>
      </x:c>
      <x:c r="D8" s="29" t="str">
        <x:v>Expected</x:v>
      </x:c>
      <x:c r="E8" s="29" t="str">
        <x:v>Actual</x:v>
      </x:c>
      <x:c r="F8" s="29" t="str">
        <x:v>Assertions</x:v>
      </x:c>
      <x:c r="G8" s="29" t="str">
        <x:v>Passed</x:v>
      </x:c>
      <x:c r="H8" s="29" t="str">
        <x:v>Failed</x:v>
      </x:c>
      <x:c r="I8" s="29" t="str">
        <x:v>Result</x:v>
      </x:c>
      <x:c r="J8" s="29" t="str">
        <x:v>Evidence</x:v>
      </x:c>
    </x:row>
    <x:row r="9" ht="15" hidden="0" customHeight="1">
      <x:c r="A9" s="14" t="str">
        <x:v>API-001</x:v>
      </x:c>
      <x:c r="B9" s="14" t="str">
        <x:v>Health Check</x:v>
      </x:c>
      <x:c r="C9" s="14" t="str">
        <x:v>GET</x:v>
      </x:c>
      <x:c r="D9" s="14" t="n">
        <x:v>200</x:v>
      </x:c>
      <x:c r="E9" s="14" t="n">
        <x:v>200</x:v>
      </x:c>
      <x:c r="F9" s="14" t="n">
        <x:v>2</x:v>
      </x:c>
      <x:c r="G9" s="14" t="n">
        <x:v>2</x:v>
      </x:c>
      <x:c r="H9" s="14" t="n">
        <x:v>0</x:v>
      </x:c>
      <x:c r="I9" s="14" t="str">
        <x:v>Pass</x:v>
      </x:c>
      <x:c r="J9" s="14" t="str">
        <x:v>Runner summary</x:v>
      </x:c>
    </x:row>
    <x:row r="10" ht="15" hidden="0" customHeight="1">
      <x:c r="A10" s="14" t="str">
        <x:v>API-002</x:v>
      </x:c>
      <x:c r="B10" s="14" t="str">
        <x:v>Login and capture token</x:v>
      </x:c>
      <x:c r="C10" s="14" t="str">
        <x:v>POST</x:v>
      </x:c>
      <x:c r="D10" s="14" t="n">
        <x:v>200</x:v>
      </x:c>
      <x:c r="E10" s="14" t="n">
        <x:v>200</x:v>
      </x:c>
      <x:c r="F10" s="14" t="n">
        <x:v>2</x:v>
      </x:c>
      <x:c r="G10" s="14" t="n">
        <x:v>2</x:v>
      </x:c>
      <x:c r="H10" s="14" t="n">
        <x:v>0</x:v>
      </x:c>
      <x:c r="I10" s="14" t="str">
        <x:v>Pass</x:v>
      </x:c>
      <x:c r="J10" s="14" t="str">
        <x:v>Runner summary</x:v>
      </x:c>
    </x:row>
    <x:row r="11" ht="15" hidden="0" customHeight="1">
      <x:c r="A11" s="14" t="str">
        <x:v>API-003</x:v>
      </x:c>
      <x:c r="B11" s="14" t="str">
        <x:v>List Customers</x:v>
      </x:c>
      <x:c r="C11" s="14" t="str">
        <x:v>GET</x:v>
      </x:c>
      <x:c r="D11" s="14" t="n">
        <x:v>200</x:v>
      </x:c>
      <x:c r="E11" s="14" t="n">
        <x:v>200</x:v>
      </x:c>
      <x:c r="F11" s="14" t="n">
        <x:v>2</x:v>
      </x:c>
      <x:c r="G11" s="14" t="n">
        <x:v>2</x:v>
      </x:c>
      <x:c r="H11" s="14" t="n">
        <x:v>0</x:v>
      </x:c>
      <x:c r="I11" s="14" t="str">
        <x:v>Pass</x:v>
      </x:c>
      <x:c r="J11" s="14" t="str">
        <x:v>Runner summary</x:v>
      </x:c>
    </x:row>
    <x:row r="12" ht="15" hidden="0" customHeight="1">
      <x:c r="A12" s="14" t="str">
        <x:v>API-004</x:v>
      </x:c>
      <x:c r="B12" s="14" t="str">
        <x:v>Get Existing Customer</x:v>
      </x:c>
      <x:c r="C12" s="14" t="str">
        <x:v>GET</x:v>
      </x:c>
      <x:c r="D12" s="14" t="n">
        <x:v>200</x:v>
      </x:c>
      <x:c r="E12" s="14" t="n">
        <x:v>200</x:v>
      </x:c>
      <x:c r="F12" s="14" t="n">
        <x:v>2</x:v>
      </x:c>
      <x:c r="G12" s="14" t="n">
        <x:v>2</x:v>
      </x:c>
      <x:c r="H12" s="14" t="n">
        <x:v>0</x:v>
      </x:c>
      <x:c r="I12" s="14" t="str">
        <x:v>Pass</x:v>
      </x:c>
      <x:c r="J12" s="14" t="str">
        <x:v>Runner summary</x:v>
      </x:c>
    </x:row>
    <x:row r="13" ht="15" hidden="0" customHeight="1">
      <x:c r="A13" s="14" t="str">
        <x:v>API-005</x:v>
      </x:c>
      <x:c r="B13" s="14" t="str">
        <x:v>Get Missing Customer</x:v>
      </x:c>
      <x:c r="C13" s="14" t="str">
        <x:v>GET</x:v>
      </x:c>
      <x:c r="D13" s="14" t="n">
        <x:v>404</x:v>
      </x:c>
      <x:c r="E13" s="14" t="n">
        <x:v>404</x:v>
      </x:c>
      <x:c r="F13" s="14" t="n">
        <x:v>2</x:v>
      </x:c>
      <x:c r="G13" s="14" t="n">
        <x:v>2</x:v>
      </x:c>
      <x:c r="H13" s="14" t="n">
        <x:v>0</x:v>
      </x:c>
      <x:c r="I13" s="14" t="str">
        <x:v>Pass</x:v>
      </x:c>
      <x:c r="J13" s="14" t="str">
        <x:v>Runner summary</x:v>
      </x:c>
    </x:row>
    <x:row r="14" ht="15" hidden="0" customHeight="1">
      <x:c r="A14" s="14" t="str">
        <x:v>API-006</x:v>
      </x:c>
      <x:c r="B14" s="14" t="str">
        <x:v>List Products</x:v>
      </x:c>
      <x:c r="C14" s="14" t="str">
        <x:v>GET</x:v>
      </x:c>
      <x:c r="D14" s="14" t="n">
        <x:v>200</x:v>
      </x:c>
      <x:c r="E14" s="14" t="n">
        <x:v>200</x:v>
      </x:c>
      <x:c r="F14" s="14" t="n">
        <x:v>2</x:v>
      </x:c>
      <x:c r="G14" s="14" t="n">
        <x:v>2</x:v>
      </x:c>
      <x:c r="H14" s="14" t="n">
        <x:v>0</x:v>
      </x:c>
      <x:c r="I14" s="14" t="str">
        <x:v>Pass</x:v>
      </x:c>
      <x:c r="J14" s="14" t="str">
        <x:v>Runner summary</x:v>
      </x:c>
    </x:row>
    <x:row r="15" ht="15" hidden="0" customHeight="1">
      <x:c r="A15" s="14" t="str">
        <x:v>API-007</x:v>
      </x:c>
      <x:c r="B15" s="14" t="str">
        <x:v>Search Products</x:v>
      </x:c>
      <x:c r="C15" s="14" t="str">
        <x:v>GET</x:v>
      </x:c>
      <x:c r="D15" s="14" t="n">
        <x:v>200</x:v>
      </x:c>
      <x:c r="E15" s="14" t="n">
        <x:v>200</x:v>
      </x:c>
      <x:c r="F15" s="14" t="n">
        <x:v>2</x:v>
      </x:c>
      <x:c r="G15" s="14" t="n">
        <x:v>2</x:v>
      </x:c>
      <x:c r="H15" s="14" t="n">
        <x:v>0</x:v>
      </x:c>
      <x:c r="I15" s="14" t="str">
        <x:v>Pass</x:v>
      </x:c>
      <x:c r="J15" s="14" t="str">
        <x:v>Runner summary</x:v>
      </x:c>
    </x:row>
    <x:row r="16" ht="15" hidden="0" customHeight="1">
      <x:c r="A16" s="14" t="str">
        <x:v>API-008</x:v>
      </x:c>
      <x:c r="B16" s="14" t="str">
        <x:v>Dashboard Summary</x:v>
      </x:c>
      <x:c r="C16" s="14" t="str">
        <x:v>GET</x:v>
      </x:c>
      <x:c r="D16" s="14" t="n">
        <x:v>200</x:v>
      </x:c>
      <x:c r="E16" s="14" t="n">
        <x:v>200</x:v>
      </x:c>
      <x:c r="F16" s="14" t="n">
        <x:v>2</x:v>
      </x:c>
      <x:c r="G16" s="14" t="n">
        <x:v>2</x:v>
      </x:c>
      <x:c r="H16" s="14" t="n">
        <x:v>0</x:v>
      </x:c>
      <x:c r="I16" s="14" t="str">
        <x:v>Pass</x:v>
      </x:c>
      <x:c r="J16" s="14" t="str">
        <x:v>Runner summary</x:v>
      </x:c>
    </x:row>
    <x:row r="17" ht="15" hidden="0" customHeight="1">
      <x:c r="A17" s="14" t="str">
        <x:v>API-009</x:v>
      </x:c>
      <x:c r="B17" s="14" t="str">
        <x:v>Get Sale Detail</x:v>
      </x:c>
      <x:c r="C17" s="14" t="str">
        <x:v>GET</x:v>
      </x:c>
      <x:c r="D17" s="14" t="n">
        <x:v>200</x:v>
      </x:c>
      <x:c r="E17" s="14" t="n">
        <x:v>200</x:v>
      </x:c>
      <x:c r="F17" s="14" t="n">
        <x:v>2</x:v>
      </x:c>
      <x:c r="G17" s="14" t="n">
        <x:v>2</x:v>
      </x:c>
      <x:c r="H17" s="14" t="n">
        <x:v>0</x:v>
      </x:c>
      <x:c r="I17" s="14" t="str">
        <x:v>Pass</x:v>
      </x:c>
      <x:c r="J17" s="14" t="str">
        <x:v>Runner summary</x:v>
      </x:c>
    </x:row>
    <x:row r="18" ht="15" hidden="0" customHeight="1">
      <x:c r="A18" s="14" t="str">
        <x:v>API-010</x:v>
      </x:c>
      <x:c r="B18" s="14" t="str">
        <x:v>Supplier Balance Summary</x:v>
      </x:c>
      <x:c r="C18" s="14" t="str">
        <x:v>GET</x:v>
      </x:c>
      <x:c r="D18" s="14" t="n">
        <x:v>200</x:v>
      </x:c>
      <x:c r="E18" s="14" t="n">
        <x:v>200</x:v>
      </x:c>
      <x:c r="F18" s="14" t="n">
        <x:v>2</x:v>
      </x:c>
      <x:c r="G18" s="14" t="n">
        <x:v>2</x:v>
      </x:c>
      <x:c r="H18" s="14" t="n">
        <x:v>0</x:v>
      </x:c>
      <x:c r="I18" s="14" t="str">
        <x:v>Pass</x:v>
      </x:c>
      <x:c r="J18" s="14" t="str">
        <x:v>Runner summary</x:v>
      </x:c>
    </x:row>
    <x:row r="19" ht="15" hidden="0" customHeight="1">
      <x:c r="A19" s="14" t="str">
        <x:v>API-011</x:v>
      </x:c>
      <x:c r="B19" s="14" t="str">
        <x:v>Supplier Ledger Regression</x:v>
      </x:c>
      <x:c r="C19" s="14" t="str">
        <x:v>GET</x:v>
      </x:c>
      <x:c r="D19" s="14" t="n">
        <x:v>200</x:v>
      </x:c>
      <x:c r="E19" s="14" t="n">
        <x:v>200</x:v>
      </x:c>
      <x:c r="F19" s="14" t="n">
        <x:v>2</x:v>
      </x:c>
      <x:c r="G19" s="14" t="n">
        <x:v>2</x:v>
      </x:c>
      <x:c r="H19" s="14" t="n">
        <x:v>0</x:v>
      </x:c>
      <x:c r="I19" s="14" t="str">
        <x:v>Pass</x:v>
      </x:c>
      <x:c r="J19" s="14" t="str">
        <x:v>Runner summary</x:v>
      </x:c>
    </x:row>
    <x:row r="20" ht="15" hidden="0" customHeight="1">
      <x:c r="A20" s="14" t="str">
        <x:v>API-012</x:v>
      </x:c>
      <x:c r="B20" s="14" t="str">
        <x:v>List Customers Without Token</x:v>
      </x:c>
      <x:c r="C20" s="14" t="str">
        <x:v>GET</x:v>
      </x:c>
      <x:c r="D20" s="14" t="n">
        <x:v>401</x:v>
      </x:c>
      <x:c r="E20" s="14" t="n">
        <x:v>401</x:v>
      </x:c>
      <x:c r="F20" s="14" t="n">
        <x:v>2</x:v>
      </x:c>
      <x:c r="G20" s="14" t="n">
        <x:v>2</x:v>
      </x:c>
      <x:c r="H20" s="14" t="n">
        <x:v>0</x:v>
      </x:c>
      <x:c r="I20" s="14" t="str">
        <x:v>Pass</x:v>
      </x:c>
      <x:c r="J20" s="14" t="str">
        <x:v>Runner summary</x:v>
      </x:c>
    </x:row>
    <x:row r="21" ht="15" hidden="0" customHeight="1">
      <x:c r="A21" s="14" t="str">
        <x:v>API-013</x:v>
      </x:c>
      <x:c r="B21" s="14" t="str">
        <x:v>Invalid Sale Return Split</x:v>
      </x:c>
      <x:c r="C21" s="14" t="str">
        <x:v>POST</x:v>
      </x:c>
      <x:c r="D21" s="14" t="n">
        <x:v>422</x:v>
      </x:c>
      <x:c r="E21" s="14" t="n">
        <x:v>422</x:v>
      </x:c>
      <x:c r="F21" s="14" t="n">
        <x:v>2</x:v>
      </x:c>
      <x:c r="G21" s="14" t="n">
        <x:v>2</x:v>
      </x:c>
      <x:c r="H21" s="14" t="n">
        <x:v>0</x:v>
      </x:c>
      <x:c r="I21" s="14" t="str">
        <x:v>Pass</x:v>
      </x:c>
      <x:c r="J21" s="14" t="str">
        <x:v>Runner summary</x:v>
      </x:c>
    </x:row>
    <x:row r="22" ht="15" hidden="0" customHeight="1">
      <x:c r="A22" s="14" t="str">
        <x:v>API-014</x:v>
      </x:c>
      <x:c r="B22" s="14" t="str">
        <x:v>Create Synthetic Customer</x:v>
      </x:c>
      <x:c r="C22" s="14" t="str">
        <x:v>POST</x:v>
      </x:c>
      <x:c r="D22" s="14" t="n">
        <x:v>201</x:v>
      </x:c>
      <x:c r="E22" s="14" t="n">
        <x:v>201</x:v>
      </x:c>
      <x:c r="F22" s="14" t="n">
        <x:v>2</x:v>
      </x:c>
      <x:c r="G22" s="14" t="n">
        <x:v>2</x:v>
      </x:c>
      <x:c r="H22" s="14" t="n">
        <x:v>0</x:v>
      </x:c>
      <x:c r="I22" s="14" t="str">
        <x:v>Pass</x:v>
      </x:c>
      <x:c r="J22" s="14" t="str">
        <x:v>Cleanup proof</x:v>
      </x:c>
    </x:row>
    <x:row r="23" ht="15" hidden="0" customHeight="1">
      <x:c r="A23" s="14" t="str">
        <x:v>API-015</x:v>
      </x:c>
      <x:c r="B23" s="14" t="str">
        <x:v>Duplicate Customer Phone</x:v>
      </x:c>
      <x:c r="C23" s="14" t="str">
        <x:v>POST</x:v>
      </x:c>
      <x:c r="D23" s="14" t="n">
        <x:v>400</x:v>
      </x:c>
      <x:c r="E23" s="14" t="n">
        <x:v>400</x:v>
      </x:c>
      <x:c r="F23" s="14" t="n">
        <x:v>2</x:v>
      </x:c>
      <x:c r="G23" s="14" t="n">
        <x:v>2</x:v>
      </x:c>
      <x:c r="H23" s="14" t="n">
        <x:v>0</x:v>
      </x:c>
      <x:c r="I23" s="14" t="str">
        <x:v>Pass</x:v>
      </x:c>
      <x:c r="J23" s="14" t="str">
        <x:v>Cleanup proof</x:v>
      </x:c>
    </x:row>
    <x:row r="24" ht="15" hidden="0" customHeight="1">
      <x:c r="A24" s="14" t="str">
        <x:v>API-016</x:v>
      </x:c>
      <x:c r="B24" s="14" t="str">
        <x:v>Delete Synthetic Customer</x:v>
      </x:c>
      <x:c r="C24" s="14" t="str">
        <x:v>DELETE</x:v>
      </x:c>
      <x:c r="D24" s="14" t="n">
        <x:v>200</x:v>
      </x:c>
      <x:c r="E24" s="14" t="n">
        <x:v>200</x:v>
      </x:c>
      <x:c r="F24" s="14" t="n">
        <x:v>1</x:v>
      </x:c>
      <x:c r="G24" s="14" t="n">
        <x:v>1</x:v>
      </x:c>
      <x:c r="H24" s="14" t="n">
        <x:v>0</x:v>
      </x:c>
      <x:c r="I24" s="14" t="str">
        <x:v>Pass</x:v>
      </x:c>
      <x:c r="J24" s="14" t="str">
        <x:v>Cleanup proof</x:v>
      </x:c>
    </x:row>
  </x:sheetData>
  <x:conditionalFormatting sqref="I9:I24">
    <x:cfRule type="containsText" dxfId="17" priority="1" operator="containsText" text="Pass"/>
    <x:cfRule type="containsText" dxfId="18" priority="2" operator="containsText" text="Fixed"/>
    <x:cfRule type="containsText" dxfId="19" priority="3" operator="containsText" text="Done"/>
    <x:cfRule type="containsText" dxfId="20" priority="4" operator="containsText" text="Not Run"/>
    <x:cfRule type="containsText" dxfId="21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9d7d2925869949ef"/>
  </x:tableParts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58" hidden="0" customWidth="1"/>
    <x:col min="4" max="4" width="28" hidden="0" customWidth="1"/>
    <x:col min="5" max="5" width="26" hidden="0" customWidth="1"/>
    <x:col min="6" max="6" width="24" hidden="0" customWidth="1"/>
    <x:col min="7" max="7" width="60" hidden="0" customWidth="1"/>
  </x:cols>
  <x:sheetData>
    <x:row r="1" ht="30" customHeight="1">
      <x:c r="A1" s="26" t="str">
        <x:v>Requirements Traceability Matrix</x:v>
      </x:c>
      <x:c r="B1" s="27"/>
      <x:c r="C1" s="27"/>
      <x:c r="D1" s="27"/>
      <x:c r="E1" s="27"/>
      <x:c r="F1" s="27"/>
      <x:c r="G1" s="27"/>
    </x:row>
    <x:row r="2" ht="22" customHeight="1">
      <x:c r="A2" s="28" t="str">
        <x:v>Connects business and quality risks to formal test cases, API checks, Jira defects, and closure evidence</x:v>
      </x:c>
      <x:c r="B2" s="27"/>
      <x:c r="C2" s="27"/>
      <x:c r="D2" s="27"/>
      <x:c r="E2" s="27"/>
      <x:c r="F2" s="27"/>
      <x:c r="G2" s="27"/>
    </x:row>
    <x:row r="3">
      <x:c r="A3" s="27"/>
      <x:c r="B3" s="27"/>
      <x:c r="C3" s="27"/>
      <x:c r="D3" s="27"/>
      <x:c r="E3" s="27"/>
      <x:c r="F3" s="27"/>
      <x:c r="G3" s="27"/>
    </x:row>
    <x:row r="4" ht="15" hidden="0" customHeight="1">
      <x:c r="A4" s="29" t="str">
        <x:v>Requirement ID</x:v>
      </x:c>
      <x:c r="B4" s="29" t="str">
        <x:v>Module</x:v>
      </x:c>
      <x:c r="C4" s="29" t="str">
        <x:v>Requirement / Risk</x:v>
      </x:c>
      <x:c r="D4" s="29" t="str">
        <x:v>Test Case IDs</x:v>
      </x:c>
      <x:c r="E4" s="29" t="str">
        <x:v>API Request IDs</x:v>
      </x:c>
      <x:c r="F4" s="29" t="str">
        <x:v>Jira Defect IDs</x:v>
      </x:c>
      <x:c r="G4" s="29" t="str">
        <x:v>Coverage and Evidence</x:v>
      </x:c>
    </x:row>
    <x:row r="5" ht="15" hidden="0" customHeight="1">
      <x:c r="A5" s="14" t="str">
        <x:v>REQ-AUTH-01</x:v>
      </x:c>
      <x:c r="B5" s="14" t="str">
        <x:v>Authentication</x:v>
      </x:c>
      <x:c r="C5" s="14" t="str">
        <x:v>Protected ERP operations require valid bearer authentication.</x:v>
      </x:c>
      <x:c r="D5" s="14" t="str">
        <x:v>TC-001, TC-031</x:v>
      </x:c>
      <x:c r="E5" s="14" t="str">
        <x:v>API-002, API-012</x:v>
      </x:c>
      <x:c r="F5" s="14" t="str">
        <x:v>—</x:v>
      </x:c>
      <x:c r="G5" s="14" t="str">
        <x:v>Valid login returned 200 and token; missing-token request returned 401.</x:v>
      </x:c>
    </x:row>
    <x:row r="6" ht="24" hidden="0" customHeight="1">
      <x:c r="A6" s="14" t="str">
        <x:v>REQ-CUST-01</x:v>
      </x:c>
      <x:c r="B6" s="14" t="str">
        <x:v>Customers</x:v>
      </x:c>
      <x:c r="C6" s="14" t="str">
        <x:v>Customer catalog and CRUD flows must validate input, preserve exact service arguments, and remain responsive.</x:v>
      </x:c>
      <x:c r="D6" s="14" t="str">
        <x:v>TC-002 to TC-006</x:v>
      </x:c>
      <x:c r="E6" s="14" t="str">
        <x:v>API-003 to API-005, API-014 to API-016</x:v>
      </x:c>
      <x:c r="F6" s="14" t="str">
        <x:v>—</x:v>
      </x:c>
      <x:c r="G6" s="14" t="str">
        <x:v>54 focused Customers tests plus controlled Postman create/duplicate/delete cycle.</x:v>
      </x:c>
    </x:row>
    <x:row r="7" ht="24" hidden="0" customHeight="1">
      <x:c r="A7" s="14" t="str">
        <x:v>REQ-BIL-01</x:v>
      </x:c>
      <x:c r="B7" s="14" t="str">
        <x:v>Billing</x:v>
      </x:c>
      <x:c r="C7" s="14" t="str">
        <x:v>Billing workspace controls must remain reachable and stable across supported viewport sizes.</x:v>
      </x:c>
      <x:c r="D7" s="14" t="str">
        <x:v>TC-007</x:v>
      </x:c>
      <x:c r="E7" s="14" t="str">
        <x:v>—</x:v>
      </x:c>
      <x:c r="F7" s="14" t="str">
        <x:v>—</x:v>
      </x:c>
      <x:c r="G7" s="14" t="str">
        <x:v>18 Billing responsive regression tests passed in the cited run.</x:v>
      </x:c>
    </x:row>
    <x:row r="8" ht="24" hidden="0" customHeight="1">
      <x:c r="A8" s="14" t="str">
        <x:v>REQ-SALES-01</x:v>
      </x:c>
      <x:c r="B8" s="14" t="str">
        <x:v>Sales</x:v>
      </x:c>
      <x:c r="C8" s="14" t="str">
        <x:v>Sales history must preserve service order, supported search behavior, and safe bounded details.</x:v>
      </x:c>
      <x:c r="D8" s="14" t="str">
        <x:v>TC-008 to TC-010</x:v>
      </x:c>
      <x:c r="E8" s="14" t="str">
        <x:v>API-009</x:v>
      </x:c>
      <x:c r="F8" s="14" t="str">
        <x:v>—</x:v>
      </x:c>
      <x:c r="G8" s="14" t="str">
        <x:v>19 focused Sales tests and successful sale-detail API verification.</x:v>
      </x:c>
    </x:row>
    <x:row r="9" ht="24" hidden="0" customHeight="1">
      <x:c r="A9" s="14" t="str">
        <x:v>REQ-SR-01</x:v>
      </x:c>
      <x:c r="B9" s="14" t="str">
        <x:v>Sale Return</x:v>
      </x:c>
      <x:c r="C9" s="14" t="str">
        <x:v>K/R allocation, validation, refund payload, safe failure handling, and route results must remain exact.</x:v>
      </x:c>
      <x:c r="D9" s="14" t="str">
        <x:v>TC-011 to TC-015, TC-030</x:v>
      </x:c>
      <x:c r="E9" s="14" t="str">
        <x:v>API-013</x:v>
      </x:c>
      <x:c r="F9" s="14" t="str">
        <x:v>BGQA-7</x:v>
      </x:c>
      <x:c r="G9" s="14" t="str">
        <x:v>25 focused tests, 19 Sales integration tests, live 200 success, and safe 422 validation.</x:v>
      </x:c>
    </x:row>
    <x:row r="10" ht="24" hidden="0" customHeight="1">
      <x:c r="A10" s="14" t="str">
        <x:v>REQ-STOCK-01</x:v>
      </x:c>
      <x:c r="B10" s="14" t="str">
        <x:v>Stock</x:v>
      </x:c>
      <x:c r="C10" s="14" t="str">
        <x:v>Stock cards and lazy lists must tolerate transient constraints and long scrolling without framework exceptions.</x:v>
      </x:c>
      <x:c r="D10" s="14" t="str">
        <x:v>TC-016 to TC-019</x:v>
      </x:c>
      <x:c r="E10" s="14" t="str">
        <x:v>—</x:v>
      </x:c>
      <x:c r="F10" s="14" t="str">
        <x:v>BGQA-4</x:v>
      </x:c>
      <x:c r="G10" s="14" t="str">
        <x:v>Zero-width recovery, 96 checked scroll steps, and related Stock Movement/Low Stock suites passed.</x:v>
      </x:c>
    </x:row>
    <x:row r="11" ht="24" hidden="0" customHeight="1">
      <x:c r="A11" s="14" t="str">
        <x:v>REQ-PR-01</x:v>
      </x:c>
      <x:c r="B11" s="14" t="str">
        <x:v>Purchases / Purchase Returns</x:v>
      </x:c>
      <x:c r="C11" s="14" t="str">
        <x:v>Purchase creation and return limits must remain accurate while compact actions and AppBars stay reachable.</x:v>
      </x:c>
      <x:c r="D11" s="14" t="str">
        <x:v>TC-020 to TC-023</x:v>
      </x:c>
      <x:c r="E11" s="14" t="str">
        <x:v>—</x:v>
      </x:c>
      <x:c r="F11" s="14" t="str">
        <x:v>BGQA-6</x:v>
      </x:c>
      <x:c r="G11" s="14" t="str">
        <x:v>17 Purchases and 26 Purchase Returns focused tests; near-zero AppBar recovery verified.</x:v>
      </x:c>
    </x:row>
    <x:row r="12" ht="24" hidden="0" customHeight="1">
      <x:c r="A12" s="14" t="str">
        <x:v>REQ-SP-01</x:v>
      </x:c>
      <x:c r="B12" s="14" t="str">
        <x:v>Supplier Payments</x:v>
      </x:c>
      <x:c r="C12" s="14" t="str">
        <x:v>Supplier summary and ledger must load safely; mixed timestamp data must not crash the API or detail view.</x:v>
      </x:c>
      <x:c r="D12" s="14" t="str">
        <x:v>TC-024 to TC-026</x:v>
      </x:c>
      <x:c r="E12" s="14" t="str">
        <x:v>API-010, API-011</x:v>
      </x:c>
      <x:c r="F12" s="14" t="str">
        <x:v>BGQA-5, BGQA-8</x:v>
      </x:c>
      <x:c r="G12" s="14" t="str">
        <x:v>Live summary/ledger 200 responses, 7 backend tests, 34 focused UI tests, and relevant regressions passed.</x:v>
      </x:c>
    </x:row>
    <x:row r="13" ht="15" hidden="0" customHeight="1">
      <x:c r="A13" s="14" t="str">
        <x:v>REQ-DASH-01</x:v>
      </x:c>
      <x:c r="B13" s="14" t="str">
        <x:v>Dashboard</x:v>
      </x:c>
      <x:c r="C13" s="14" t="str">
        <x:v>Core navigation and tile behavior must remain stable after module UI refactors.</x:v>
      </x:c>
      <x:c r="D13" s="14" t="str">
        <x:v>TC-027</x:v>
      </x:c>
      <x:c r="E13" s="14" t="str">
        <x:v>API-008</x:v>
      </x:c>
      <x:c r="F13" s="14" t="str">
        <x:v>—</x:v>
      </x:c>
      <x:c r="G13" s="14" t="str">
        <x:v>Dashboard widget regression and summary endpoint checks passed.</x:v>
      </x:c>
    </x:row>
    <x:row r="14" ht="24" hidden="0" customHeight="1">
      <x:c r="A14" s="14" t="str">
        <x:v>REQ-API-01</x:v>
      </x:c>
      <x:c r="B14" s="14" t="str">
        <x:v>API Contracts</x:v>
      </x:c>
      <x:c r="C14" s="14" t="str">
        <x:v>Positive, authentication, missing-resource, validation, and controlled CRUD responses must match expected status contracts.</x:v>
      </x:c>
      <x:c r="D14" s="14" t="str">
        <x:v>TC-028 to TC-031</x:v>
      </x:c>
      <x:c r="E14" s="14" t="str">
        <x:v>API-001 to API-016</x:v>
      </x:c>
      <x:c r="F14" s="14" t="str">
        <x:v>BGQA-5</x:v>
      </x:c>
      <x:c r="G14" s="14" t="str">
        <x:v>Postman Collection Runner completed 16 requests and 31/31 assertions with cleanup.</x:v>
      </x:c>
    </x:row>
  </x:sheetData>
  <x:pageMargins left="0.7" right="0.7" top="0.75" bottom="0.75" header="0.3" footer="0.3"/>
  <x:tableParts count="1">
    <x:tablePart xmlns:r="http://schemas.openxmlformats.org/officeDocument/2006/relationships" r:id="Re0c1499b76244050"/>
  </x:tableParts>
</x:worksheet>
</file>